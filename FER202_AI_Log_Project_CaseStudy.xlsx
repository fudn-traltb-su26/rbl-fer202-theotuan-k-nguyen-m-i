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FU\FER202\Claude\ReactJS\ReactJS\Case-Study\"/>
    </mc:Choice>
  </mc:AlternateContent>
  <xr:revisionPtr revIDLastSave="0" documentId="13_ncr:1_{93210238-49EE-4806-9DAE-BCA61075B83D}" xr6:coauthVersionLast="47" xr6:coauthVersionMax="47" xr10:uidLastSave="{00000000-0000-0000-0000-000000000000}"/>
  <bookViews>
    <workbookView xWindow="-110" yWindow="-110" windowWidth="24220" windowHeight="15500" tabRatio="500" firstSheet="5" activeTab="11" xr2:uid="{00000000-000D-0000-FFFF-FFFF00000000}"/>
  </bookViews>
  <sheets>
    <sheet name="Hướng dẫn" sheetId="1" r:id="rId1"/>
    <sheet name="Thông tin nhóm" sheetId="2" r:id="rId2"/>
    <sheet name="Week_01" sheetId="3" r:id="rId3"/>
    <sheet name="Week_02" sheetId="4" r:id="rId4"/>
    <sheet name="Week_03" sheetId="5" r:id="rId5"/>
    <sheet name="Week_04" sheetId="6" r:id="rId6"/>
    <sheet name="Week_05" sheetId="7" r:id="rId7"/>
    <sheet name="Week_06" sheetId="8" r:id="rId8"/>
    <sheet name="Week_07" sheetId="9" r:id="rId9"/>
    <sheet name="Week_08" sheetId="10" r:id="rId10"/>
    <sheet name="Week_09" sheetId="11" r:id="rId11"/>
    <sheet name="Week_10" sheetId="12" r:id="rId12"/>
    <sheet name="Summary" sheetId="13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5" i="13" l="1"/>
  <c r="J15" i="13"/>
  <c r="I15" i="13"/>
  <c r="G15" i="13"/>
  <c r="F15" i="13"/>
  <c r="E15" i="13"/>
  <c r="D15" i="13"/>
  <c r="C15" i="13"/>
  <c r="H15" i="13" s="1"/>
  <c r="K14" i="13"/>
  <c r="J14" i="13"/>
  <c r="I14" i="13"/>
  <c r="G14" i="13"/>
  <c r="F14" i="13"/>
  <c r="E14" i="13"/>
  <c r="D14" i="13"/>
  <c r="C14" i="13"/>
  <c r="H14" i="13" s="1"/>
  <c r="K13" i="13"/>
  <c r="J13" i="13"/>
  <c r="I13" i="13"/>
  <c r="G13" i="13"/>
  <c r="F13" i="13"/>
  <c r="E13" i="13"/>
  <c r="D13" i="13"/>
  <c r="C13" i="13"/>
  <c r="H13" i="13" s="1"/>
  <c r="K12" i="13"/>
  <c r="J12" i="13"/>
  <c r="I12" i="13"/>
  <c r="G12" i="13"/>
  <c r="F12" i="13"/>
  <c r="E12" i="13"/>
  <c r="D12" i="13"/>
  <c r="H12" i="13" s="1"/>
  <c r="C12" i="13"/>
  <c r="K11" i="13"/>
  <c r="J11" i="13"/>
  <c r="I11" i="13"/>
  <c r="G11" i="13"/>
  <c r="F11" i="13"/>
  <c r="E11" i="13"/>
  <c r="H11" i="13" s="1"/>
  <c r="D11" i="13"/>
  <c r="C11" i="13"/>
  <c r="K10" i="13"/>
  <c r="J10" i="13"/>
  <c r="I10" i="13"/>
  <c r="G10" i="13"/>
  <c r="F10" i="13"/>
  <c r="E10" i="13"/>
  <c r="D10" i="13"/>
  <c r="C10" i="13"/>
  <c r="H10" i="13" s="1"/>
  <c r="K9" i="13"/>
  <c r="J9" i="13"/>
  <c r="I9" i="13"/>
  <c r="G9" i="13"/>
  <c r="H9" i="13" s="1"/>
  <c r="F9" i="13"/>
  <c r="E9" i="13"/>
  <c r="D9" i="13"/>
  <c r="C9" i="13"/>
  <c r="K8" i="13"/>
  <c r="J8" i="13"/>
  <c r="I8" i="13"/>
  <c r="H8" i="13"/>
  <c r="G8" i="13"/>
  <c r="F8" i="13"/>
  <c r="E8" i="13"/>
  <c r="D8" i="13"/>
  <c r="C8" i="13"/>
  <c r="K7" i="13"/>
  <c r="J7" i="13"/>
  <c r="I7" i="13"/>
  <c r="G7" i="13"/>
  <c r="F7" i="13"/>
  <c r="E7" i="13"/>
  <c r="D7" i="13"/>
  <c r="C7" i="13"/>
  <c r="H7" i="13" s="1"/>
  <c r="K6" i="13"/>
  <c r="K16" i="13" s="1"/>
  <c r="J6" i="13"/>
  <c r="J16" i="13" s="1"/>
  <c r="I6" i="13"/>
  <c r="I16" i="13" s="1"/>
  <c r="G6" i="13"/>
  <c r="G16" i="13" s="1"/>
  <c r="F6" i="13"/>
  <c r="F16" i="13" s="1"/>
  <c r="E6" i="13"/>
  <c r="E16" i="13" s="1"/>
  <c r="D6" i="13"/>
  <c r="D16" i="13" s="1"/>
  <c r="C6" i="13"/>
  <c r="C16" i="13" s="1"/>
  <c r="H6" i="13" l="1"/>
  <c r="H16" i="13" s="1"/>
</calcChain>
</file>

<file path=xl/sharedStrings.xml><?xml version="1.0" encoding="utf-8"?>
<sst xmlns="http://schemas.openxmlformats.org/spreadsheetml/2006/main" count="2080" uniqueCount="1020">
  <si>
    <t>FER202 — AI Log Template  |  Project Nhóm</t>
  </si>
  <si>
    <t>Hướng dẫn sử dụng  |  FPT University</t>
  </si>
  <si>
    <t>📌  MỤC ĐÍCH</t>
  </si>
  <si>
    <t>File này dùng để gì?</t>
  </si>
  <si>
    <t>Ghi lại nhật ký sử dụng AI của nhóm trong suốt project môn FER202 — theo từng tuần.</t>
  </si>
  <si>
    <t>Ai điền?</t>
  </si>
  <si>
    <t>Mỗi thành viên tự điền phần của mình vào các bảng của tuần tương ứng. Trưởng nhóm tổng hợp và upload.</t>
  </si>
  <si>
    <t>Nộp khi nào?</t>
  </si>
  <si>
    <t>Cuối mỗi tuần (hoặc theo deadline giảng viên). Một file duy nhất cho cả học kỳ.</t>
  </si>
  <si>
    <t>📁  CÁC SHEET TRONG FILE</t>
  </si>
  <si>
    <t>Thông tin nhóm</t>
  </si>
  <si>
    <t>Điền 1 lần đầu học kỳ: tên nhóm, MSSV, phân công, mô tả project.</t>
  </si>
  <si>
    <t>Week_01 → Week_10</t>
  </si>
  <si>
    <t>Mỗi tuần có 4 bảng: AI_Audit_Log, Changelog, Prompts, Reflection.</t>
  </si>
  <si>
    <t>Summary</t>
  </si>
  <si>
    <t>Tổng hợp tự động (công thức) số lần dùng AI, mức hỗ trợ theo từng tuần/thành viên.</t>
  </si>
  <si>
    <t>📝  4 BẢNG TRONG MỖI TUẦN</t>
  </si>
  <si>
    <t>BẢNG 1 — AI_AUDIT_LOG</t>
  </si>
  <si>
    <t>Ghi mỗi lần dùng AI: ngày, ai dùng, tool, mục đích, mức hỗ trợ, đã chỉnh sửa gì, kiểm chứng.</t>
  </si>
  <si>
    <t>BẢNG 2 — CHANGELOG</t>
  </si>
  <si>
    <t>Ghi thay đổi project trong tuần (Added / Changed / Fixed / Removed). Không bắt buộc gắn với AI.</t>
  </si>
  <si>
    <t>BẢNG 3 — PROMPTS</t>
  </si>
  <si>
    <t>Ghi chi tiết từng prompt quan trọng đã dùng: nội dung, kết quả AI trả về, cách nhóm sử dụng/chỉnh sửa.</t>
  </si>
  <si>
    <t>BẢNG 4 — REFLECTION</t>
  </si>
  <si>
    <t>Mỗi thành viên viết 1 block suy ngẫm cá nhân cuối tuần (đã làm gì, AI hỗ trợ ra sao, điểm chưa tốt).</t>
  </si>
  <si>
    <t>✅  QUY ƯỚC</t>
  </si>
  <si>
    <t>Cột TV</t>
  </si>
  <si>
    <t>Dùng ký hiệu A / B / C / D / E (khớp với bảng Thông tin nhóm).</t>
  </si>
  <si>
    <t>Mức hỗ trợ AI</t>
  </si>
  <si>
    <t>Low = AI gợi ý nhỏ  |  Medium = AI đóng góp đáng kể  |  High = AI tạo phần lớn nội dung</t>
  </si>
  <si>
    <t>Loại Changelog</t>
  </si>
  <si>
    <t>Added = thêm mới  |  Changed = cải tiến  |  Fixed = sửa lỗi  |  Removed = xóa bỏ</t>
  </si>
  <si>
    <t>(*) bắt buộc</t>
  </si>
  <si>
    <t>Các cột đánh dấu (*) là bắt buộc phải điền.</t>
  </si>
  <si>
    <t>THÔNG TIN NHÓM — FER202</t>
  </si>
  <si>
    <t>📋  Thông tin lớp</t>
  </si>
  <si>
    <t>Mã lớp học</t>
  </si>
  <si>
    <t>FER202_SE20A04</t>
  </si>
  <si>
    <t>Giảng viên</t>
  </si>
  <si>
    <t>Lê Thị Bích Tra  —  traltb@fe.edu.vn</t>
  </si>
  <si>
    <t>Học kỳ / Năm học</t>
  </si>
  <si>
    <t>SU26</t>
  </si>
  <si>
    <t>Tên nhóm</t>
  </si>
  <si>
    <t>Nhóm 01 — ReadMore</t>
  </si>
  <si>
    <t>Số thành viên</t>
  </si>
  <si>
    <t>5</t>
  </si>
  <si>
    <t>👥  Danh sách thành viên</t>
  </si>
  <si>
    <t>Ký hiệu (*)</t>
  </si>
  <si>
    <t>Họ và tên (*)</t>
  </si>
  <si>
    <t>MSSV (*)</t>
  </si>
  <si>
    <t>Vai trò</t>
  </si>
  <si>
    <t>Ghi chú</t>
  </si>
  <si>
    <t>A</t>
  </si>
  <si>
    <t>Trưởng nhóm</t>
  </si>
  <si>
    <t>B</t>
  </si>
  <si>
    <t>Thành viên</t>
  </si>
  <si>
    <t>C</t>
  </si>
  <si>
    <t>D</t>
  </si>
  <si>
    <t>E</t>
  </si>
  <si>
    <t>💡  Mô tả dự án</t>
  </si>
  <si>
    <t>Tên hệ thống</t>
  </si>
  <si>
    <t>ReadMore Bookstore — Website bán sách trực tuyến</t>
  </si>
  <si>
    <t>Mô tả ngắn</t>
  </si>
  <si>
    <t>SPA bán sách: trang chủ, danh mục, tìm kiếm, chi tiết sách, giỏ hàng, đặt hàng (CRUD với json-server).</t>
  </si>
  <si>
    <t>Công nghệ sử dụng</t>
  </si>
  <si>
    <t>React 18, Vite, React-Bootstrap 2.x, React Router DOM v6, Axios, JSON-Server</t>
  </si>
  <si>
    <t>Link repo (GitHub/GitLab)</t>
  </si>
  <si>
    <t>https://github.com/fer202-g01/readmore-bookstore</t>
  </si>
  <si>
    <t>Link Jira</t>
  </si>
  <si>
    <t>Link demo</t>
  </si>
  <si>
    <t>https://readmore-bookstore.vercel.app</t>
  </si>
  <si>
    <t>WEEK 01 — Nhật ký AI &amp; Project</t>
  </si>
  <si>
    <t>Mỗi thành viên dùng ký hiệu A/B/C/D/E ở cột TV.  Cột (*) bắt buộc điền.  Lưu file sau khi điền xong.</t>
  </si>
  <si>
    <t>📋  BẢNG 1: Nhật ký sử dụng AI  (AI_AUDIT_LOG)</t>
  </si>
  <si>
    <t>Ghi mỗi lần dùng AI vào 1 dòng.  Mức hỗ trợ: Low = AI gợi ý nhỏ  |  Medium = AI đóng góp nhiều  |  High = AI tạo phần lớn</t>
  </si>
  <si>
    <t>Ngày (*)</t>
  </si>
  <si>
    <t>TV (*)</t>
  </si>
  <si>
    <t>Công cụ AI (*)</t>
  </si>
  <si>
    <t>Mục đích sử dụng (*)</t>
  </si>
  <si>
    <t>File ảnh hưởng</t>
  </si>
  <si>
    <t>Mức hỗ trợ (*)</t>
  </si>
  <si>
    <t>Đã chỉnh sửa gì?</t>
  </si>
  <si>
    <t>Kiểm chứng</t>
  </si>
  <si>
    <t>05/05/2026</t>
  </si>
  <si>
    <t>ChatGPT-4o</t>
  </si>
  <si>
    <t>Tư vấn cấu trúc thư mục chuẩn cho project React 18 + Vite</t>
  </si>
  <si>
    <t>readmore-bookstore/</t>
  </si>
  <si>
    <t>Low</t>
  </si>
  <si>
    <t>Bỏ thư mục redux/ (quá sớm), thêm src/services</t>
  </si>
  <si>
    <t>Đối chiếu docs Vite, npm run dev OK</t>
  </si>
  <si>
    <t>Google Stitch</t>
  </si>
  <si>
    <t>Generate mockup Trang chủ + Danh sách sách theo công thức prompt 5 thành phần</t>
  </si>
  <si>
    <t>docs/mockup/homepage.png</t>
  </si>
  <si>
    <t>High</t>
  </si>
  <si>
    <t>Iterate 3 lần: grid 4 cột, thêm discount badge</t>
  </si>
  <si>
    <t>Đối chiếu checklist requirements 8/8 component</t>
  </si>
  <si>
    <t>06/05/2026</t>
  </si>
  <si>
    <t>Figma Make</t>
  </si>
  <si>
    <t>Tạo prototype tương tác Chi tiết sách + Giỏ hàng</t>
  </si>
  <si>
    <t>docs/mockup/figma-prototype</t>
  </si>
  <si>
    <t>Chỉnh interaction cart badge, đổi primary #0d6efd</t>
  </si>
  <si>
    <t>Click-through Danh sách→Chi tiết→Giỏ OK</t>
  </si>
  <si>
    <t>Thiết kế cấu trúc db.json: books (12 fields), categories + 20 sách mẫu</t>
  </si>
  <si>
    <t>db.json</t>
  </si>
  <si>
    <t>Medium</t>
  </si>
  <si>
    <t>Đổi price sang number, clamp rating ≤ 5, thay URL ảnh</t>
  </si>
  <si>
    <t>json-server GET /books trả đúng 20 sách</t>
  </si>
  <si>
    <t>07/05/2026</t>
  </si>
  <si>
    <t>Claude</t>
  </si>
  <si>
    <t>Vẽ Component Tree cho 4 màn hình ReadMore từ mockup</t>
  </si>
  <si>
    <t>docs/component-tree.md</t>
  </si>
  <si>
    <t>Gộp 2 BookCard trùng lặp thành 1 (props variant), thêm Footer</t>
  </si>
  <si>
    <t>Cả nhóm review, khớp mockup của B + C</t>
  </si>
  <si>
    <t>08/05/2026</t>
  </si>
  <si>
    <t>GitHub Copilot</t>
  </si>
  <si>
    <t>Sinh README.md skeleton + .gitignore cho Vite project</t>
  </si>
  <si>
    <t>README.md</t>
  </si>
  <si>
    <t>Viết lại mô tả, thêm hướng dẫn chạy json-server</t>
  </si>
  <si>
    <t>Render đúng trên GitHub</t>
  </si>
  <si>
    <t>📝  BẢNG 2: Nhật ký thay đổi project  (CHANGELOG)</t>
  </si>
  <si>
    <t>Loại (*)</t>
  </si>
  <si>
    <t>Mô tả thay đổi (*)</t>
  </si>
  <si>
    <t>File liên quan</t>
  </si>
  <si>
    <t>Added — Thêm mới</t>
  </si>
  <si>
    <t>Khởi tạo repo readmore-bookstore: Vite + react-bootstrap + react-router-dom + axios</t>
  </si>
  <si>
    <t>package.json</t>
  </si>
  <si>
    <t>npm run dev OK</t>
  </si>
  <si>
    <t>Tạo db.json: 20 books, 5 categories đủ 12 fields</t>
  </si>
  <si>
    <t>Format BDD Gherkin</t>
  </si>
  <si>
    <t>Hoàn thành 4 mockup màn hình bằng Google Stitch + Figma Make</t>
  </si>
  <si>
    <t>docs/mockup/</t>
  </si>
  <si>
    <t>Đã export sang Figma</t>
  </si>
  <si>
    <t>Changed — Cải tiến</t>
  </si>
  <si>
    <t>Cập nhật Component Tree v2: tách BookGrid khỏi HomePage để tái sử dụng</t>
  </si>
  <si>
    <t>Chỉnh style guide: primary #0d6efd, font Inter, tone tối giản</t>
  </si>
  <si>
    <t>docs/mockup/style-guide.md</t>
  </si>
  <si>
    <t>Chỉnh AC US-02 (Tìm kiếm): thêm case tìm theo ISBN</t>
  </si>
  <si>
    <t>AcceptanceCriteria.md</t>
  </si>
  <si>
    <t>Fixed — Sửa lỗi</t>
  </si>
  <si>
    <t>Sửa db.json: giá từ string "120000đ" → number 120000 để sort/filter được</t>
  </si>
  <si>
    <t>Phát hiện khi test json-server</t>
  </si>
  <si>
    <t>Sửa mockup Trang chủ: thiếu cart badge trên Header</t>
  </si>
  <si>
    <t>Phát hiện khi đối chiếu checklist</t>
  </si>
  <si>
    <t>Removed — Xóa bỏ</t>
  </si>
  <si>
    <t>💡  BẢNG 3: Nhật ký Prompt AI  (PROMPTS)</t>
  </si>
  <si>
    <t>Mỗi prompt quan trọng ghi 1 block gồm 4 dòng. Ghi rõ prompt đã dùng, kết quả, cách nhóm sử dụng, và kiểm chứng.</t>
  </si>
  <si>
    <t>Prompt #</t>
  </si>
  <si>
    <t>TV</t>
  </si>
  <si>
    <t>Công cụ AI</t>
  </si>
  <si>
    <t>Prompt đã dùng (nguyên văn) (*)</t>
  </si>
  <si>
    <t>Prompt #1  (B — Google Stitch)</t>
  </si>
  <si>
    <t>Design a homepage for an online bookstore web app named "ReadMore" (Vietnamese). Include: top navbar with logo, nav links and cart icon with badge; hero banner with CTA "Khám phá ngay"; 5 category cards; featured books grid of 8 book cards — cover, title, author, price in VND, original price strikethrough, rating stars, "Thêm vào giỏ" button. Clean modern style, primary #0d6efd.</t>
  </si>
  <si>
    <t>Kết quả AI trả về và vấn đề gặp phải:</t>
  </si>
  <si>
    <t>Stitch sinh layout đẹp nhưng grid chỉ 3 cột, thiếu strikethrough giá gốc và discount badge.</t>
  </si>
  <si>
    <t>Nhóm đã chỉnh sửa / sử dụng như thế nào:</t>
  </si>
  <si>
    <t>Iterate 2 prompt chỉnh sửa: "Make the book grid 4 columns, add a discount badge on top-left of each card". Lưu toàn bộ prompt (kể cả prompt fail) vào docs/mockup/prompts.md.</t>
  </si>
  <si>
    <t>Kiểm chứng (test pass/fail, kết quả đúng không):</t>
  </si>
  <si>
    <t>Đối chiếu checklist requirements: đủ 8/8 component, nhóm duyệt làm chuẩn UI</t>
  </si>
  <si>
    <t>Prompt #2  (D — ChatGPT-4o)</t>
  </si>
  <si>
    <t>Thiết kế cấu trúc db.json cho json-server của website bán sách: books (id, title, author, price, originalPrice, rating, stock, image, categoryId, description), categories (id, name, icon). Sinh 20 sách mẫu tiếng Việt thực tế.</t>
  </si>
  <si>
    <t>AI sinh đúng cấu trúc nhưng price để string có "đ", rating có giá trị 5.5 (vượt thang 5), image dùng URL không tồn tại.</t>
  </si>
  <si>
    <t>Đổi price/originalPrice sang number, clamp rating ≤ 5, thay ảnh bằng picsum.photos có seed.</t>
  </si>
  <si>
    <t>json-server GET /books?_sort=price hoạt động đúng, UI hiển thị đủ field</t>
  </si>
  <si>
    <t>Prompt #3  (E — Claude)</t>
  </si>
  <si>
    <t>Từ 4 mockup này, vẽ Component Tree dạng text cho app React: HomePage, BookListPage, BookDetailPage, CartPage. Chỉ rõ component tái sử dụng và props dự kiến của từng component.</t>
  </si>
  <si>
    <t>Cây component hợp lý nhưng Claude tách BookCard thành 2 loại (HomeBookCard, ListBookCard) gây trùng lặp; quên Footer dù mockup có.</t>
  </si>
  <si>
    <t>Gộp thành 1 BookCard nhận props variant; bổ sung Header/Footer dùng chung layout.</t>
  </si>
  <si>
    <t>Nhóm review chéo với mockup — khớp 100%, dùng làm bản thiết kế cho tuần 2</t>
  </si>
  <si>
    <t>Prompt #4  (A — ChatGPT-4o)</t>
  </si>
  <si>
    <t>So sánh Create React App và Vite cho project React 18 môn học: tốc độ dev server, HMR, cấu hình, tương thích react-bootstrap. Nên chọn cái nào?</t>
  </si>
  <si>
    <t>So sánh đúng các tiêu chí, nhưng AI vẫn đề xuất CRA như lựa chọn ngang hàng — CRA đã deprecated.</t>
  </si>
  <si>
    <t>Chốt Vite theo khuyến nghị docs react.dev, ghi quyết định và lý do vào README.</t>
  </si>
  <si>
    <t>npm create vite chạy thành công, dev server khởi động &lt; 1s</t>
  </si>
  <si>
    <t>🪞  BẢNG 4: Suy ngẫm cuối tuần  (REFLECTION)</t>
  </si>
  <si>
    <t>Mỗi thành viên điền 1 block riêng. Mục 'AI sai/thiếu' bắt buộc ≥ 2 ví dụ cụ thể. Viết thành câu đầy đủ.</t>
  </si>
  <si>
    <t>Thành viên A — Trưởng nhóm</t>
  </si>
  <si>
    <t>Đã làm gì trong tuần này? (*)</t>
  </si>
  <si>
    <t>Tạo GitHub repo, cấu hình Vite project, cài react-bootstrap/router/axios, tổ chức thư mục src/, viết README.</t>
  </si>
  <si>
    <t>AI đã hỗ trợ như thế nào?</t>
  </si>
  <si>
    <t>ChatGPT-4o tư vấn cấu trúc thư mục và so sánh Vite/CRA; Copilot sinh README skeleton — tiết kiệm ~1h.</t>
  </si>
  <si>
    <t>AI sai hoặc thiếu ở đâu? (*)</t>
  </si>
  <si>
    <t>(1) AI vẫn gợi ý CRA dù đã deprecated — phải tự kiểm chứng docs react.dev. (2) Cấu trúc thư mục AI đề xuất có redux/ ngay tuần 1 — quá sớm so với lộ trình môn.</t>
  </si>
  <si>
    <t>Khó khăn gặp phải</t>
  </si>
  <si>
    <t>Conflict version giữa bootstrap 5 và react-bootstrap khi cài — phải đọc bảng tương thích.</t>
  </si>
  <si>
    <t>Nếu làm lại, sẽ cải thiện điều gì?</t>
  </si>
  <si>
    <t>Ghi rõ version (React 18, react-bootstrap 2.x) ngay trong prompt để AI trả lời đúng ngữ cảnh.</t>
  </si>
  <si>
    <t>Thành viên B — Thành viên</t>
  </si>
  <si>
    <t>Thiết kế mockup Trang chủ + Danh sách sách bằng Google Stitch theo workflow 5 bước; lưu prompt log.</t>
  </si>
  <si>
    <t>Stitch generate layout ~5 phút/màn, iterate bằng prompt thay vì vẽ tay — tiết kiệm ~3h so với Figma thủ công.</t>
  </si>
  <si>
    <t>(1) Grid sinh ra 3 cột thay vì 4 như yêu cầu. (2) Thiếu strikethrough giá gốc và discount badge — phải prompt bổ sung 2 lần.</t>
  </si>
  <si>
    <t>Viết prompt mô tả UI chi tiết bằng tiếng Anh; prompt mơ hồ → output lệch requirements.</t>
  </si>
  <si>
    <t>Chuẩn bị requirements checklist trước khi prompt, đối chiếu từng component sau mỗi lần generate.</t>
  </si>
  <si>
    <t>Thành viên C — Thành viên</t>
  </si>
  <si>
    <t>Tạo prototype tương tác Chi tiết sách + Giỏ hàng bằng Figma Make; thống nhất style guide nhóm.</t>
  </si>
  <si>
    <t>Figma Make sinh prototype có interaction cart badge; Plan mode hỏi lại yêu cầu giúp output sát requirements hơn.</t>
  </si>
  <si>
    <t>(1) Sinh thêm màn checkout không có trong scope tuần 1. (2) Nút số lượng ± không giới hạn min=1, cho phép số âm.</t>
  </si>
  <si>
    <t>Paste design từ Stitch sang Figma bị lệch layer ở phần Footer.</t>
  </si>
  <si>
    <t>Ghi rõ scope màn hình và constraint (min/max) ngay trong prompt đầu tiên.</t>
  </si>
  <si>
    <t>Thành viên D — Thành viên</t>
  </si>
  <si>
    <t>Thiết kế db.json với books (12 fields), categories; seed 20 sách mẫu; chạy thử json-server.</t>
  </si>
  <si>
    <t>ChatGPT-4o sinh cấu trúc + data mẫu nhanh, gợi ý field originalPrice để làm tính năng giảm giá.</t>
  </si>
  <si>
    <t>(1) Giá tiền sinh dạng string "120000đ" không sort được. (2) Rating có giá trị 5.5 vượt thang 5 — phải clamp thủ công.</t>
  </si>
  <si>
    <t>Phân vân cấu trúc quan hệ books–categories (categoryId vs nested) cho json-server.</t>
  </si>
  <si>
    <t>Định nghĩa schema + kiểu dữ liệu trước, yêu cầu AI tuân theo schema thay vì để AI tự quyết.</t>
  </si>
  <si>
    <t>Thành viên E — Thành viên</t>
  </si>
  <si>
    <t>Vẽ Component Tree 4 màn hình, viết README, tổng hợp prompt log cả nhóm vào docs/mockup/prompts.md.</t>
  </si>
  <si>
    <t>Claude vẽ component tree dạng text rõ, giải thích vì sao tách component — học được tư duy chia component.</t>
  </si>
  <si>
    <t>(1) Claude tách BookCard thành 2 component trùng lặp thay vì dùng props variant. (2) Quên Footer trong cây component dù mockup có.</t>
  </si>
  <si>
    <t>Tổng hợp prompt log từ 4 bạn dùng 3 tool khác nhau, format không thống nhất.</t>
  </si>
  <si>
    <t>Tạo template prompt log chung ngay đầu tuần để mọi người điền cùng format.</t>
  </si>
  <si>
    <t>FER202  |  Week 01  |  FPT University — Điền xong nhớ Ctrl+S để lưu!</t>
  </si>
  <si>
    <t>WEEK 02 — Nhật ký AI &amp; Project</t>
  </si>
  <si>
    <t>12/05/2026</t>
  </si>
  <si>
    <t>Giải thích JSX khác HTML: className, camelCase, expression {}</t>
  </si>
  <si>
    <t>Notes_Week2.md</t>
  </si>
  <si>
    <t>Thêm ví dụ từ code Header thực tế của nhóm</t>
  </si>
  <si>
    <t>Đối chiếu react.dev/learn</t>
  </si>
  <si>
    <t>Sinh Header.jsx: logo, nav links, cart icon + badge</t>
  </si>
  <si>
    <t>src/components/Header.jsx</t>
  </si>
  <si>
    <t>Đổi class→className, bỏ inline style thừa</t>
  </si>
  <si>
    <t>Render đúng trên dev server</t>
  </si>
  <si>
    <t>13/05/2026</t>
  </si>
  <si>
    <t>Sinh BookCard.jsx + BookGrid.jsx render list bằng map()</t>
  </si>
  <si>
    <t>src/components/BookCard.jsx</t>
  </si>
  <si>
    <t>Thêm key={book.id}, format giá toLocaleString('vi-VN')</t>
  </si>
  <si>
    <t>Hiển thị đúng 8 sách từ data mẫu</t>
  </si>
  <si>
    <t>Viết CategoryList.jsx + conditional rendering badge "Hết hàng"</t>
  </si>
  <si>
    <t>src/components/CategoryList.jsx</t>
  </si>
  <si>
    <t>Đổi ternary lồng nhau thành &amp;&amp; cho dễ đọc</t>
  </si>
  <si>
    <t>Test với stock=0 hiển thị đúng</t>
  </si>
  <si>
    <t>14/05/2026</t>
  </si>
  <si>
    <t>Review code tuần 2: tìm anti-pattern JSX trong 6 component</t>
  </si>
  <si>
    <t>src/components/</t>
  </si>
  <si>
    <t>Áp dụng 4/6 gợi ý (bỏ index làm key, tách Banner)</t>
  </si>
  <si>
    <t>ESLint không còn warning</t>
  </si>
  <si>
    <t>15/05/2026</t>
  </si>
  <si>
    <t>Giải thích lỗi "Adjacent JSX elements must be wrapped"</t>
  </si>
  <si>
    <t>Header.jsx</t>
  </si>
  <si>
    <t>Dùng Fragment &lt;&gt;&lt;/&gt; thay div thừa</t>
  </si>
  <si>
    <t>Build không còn lỗi</t>
  </si>
  <si>
    <t>Tạo Header.jsx với cart icon badge (tạm hardcode 0)</t>
  </si>
  <si>
    <t>Tạo BookGrid.jsx + BookCard.jsx render 8 sách bằng map()</t>
  </si>
  <si>
    <t>BookGrid.jsx, BookCard.jsx</t>
  </si>
  <si>
    <t>Tạo Banner.jsx + Footer.jsx hoàn thiện layout trang chủ</t>
  </si>
  <si>
    <t>Banner.jsx, Footer.jsx</t>
  </si>
  <si>
    <t>CategoryList: đổi ternary lồng nhau sang toán tử &amp;&amp; + early return</t>
  </si>
  <si>
    <t>CategoryList.jsx</t>
  </si>
  <si>
    <t>Refactor App.jsx: tách section thành component riêng theo Component Tree</t>
  </si>
  <si>
    <t>App.jsx</t>
  </si>
  <si>
    <t>Thêm cột "Smoke Suite" vào Priority Bucket table</t>
  </si>
  <si>
    <t>RiskMatrix.xlsx</t>
  </si>
  <si>
    <t>Sửa warning "unique key prop" — đổi key={index} thành key={book.id}</t>
  </si>
  <si>
    <t>BookGrid.jsx</t>
  </si>
  <si>
    <t>Theo gợi ý review của E</t>
  </si>
  <si>
    <t>Sửa class → className do copy từ HTML mockup</t>
  </si>
  <si>
    <t>Prompt #1  (C — GitHub Copilot)</t>
  </si>
  <si>
    <t>Create React functional component BookCard receiving a book object: display cover image, title, author, price in VND with discount badge when originalPrice &gt; price, rating stars and "Thêm vào giỏ" button. Plain JSX, no CSS framework yet.</t>
  </si>
  <si>
    <t>Copilot dùng class thay className ở 2 chỗ, giá hiển thị số thô không format, không có key khi dùng trong map.</t>
  </si>
  <si>
    <t>Sửa className, thêm price.toLocaleString('vi-VN') + 'đ', thêm key={book.id} ở BookGrid.</t>
  </si>
  <si>
    <t>Render đúng 8 sách, giá định dạng 120.000đ, không warning console</t>
  </si>
  <si>
    <t>Trong JSX, khi nào dùng ternary ?: và khi nào dùng &amp;&amp;? Cho ví dụ hiển thị badge "Hết hàng" khi stock === 0 và badge "-x%" khi originalPrice &gt; price.</t>
  </si>
  <si>
    <t>Giải thích đúng và đủ 2 ví dụ, nhưng không cảnh báo bẫy 0 &amp;&amp; ... render ra số 0 trên UI.</t>
  </si>
  <si>
    <t>Dùng stock === 0 &amp;&amp; ... (so sánh tường minh) thay vì !stock &amp;&amp;; ghi chú bẫy số 0 vào Notes_Week2.md.</t>
  </si>
  <si>
    <t>Test stock=0: hiện badge, không render số 0 thừa</t>
  </si>
  <si>
    <t>Review 6 file component JSX sau của project bán sách [đính kèm code]. Liệt kê anti-pattern và đề xuất sửa: key, fragment, naming, chia component.</t>
  </si>
  <si>
    <t>Claude chỉ ra 6 vấn đề, trong đó 2 gợi ý (dùng React.memo, tách atom component) vượt scope tuần 2.</t>
  </si>
  <si>
    <t>Áp dụng 4 gợi ý phù hợp: bỏ index làm key, dùng Fragment, đổi tên props rõ nghĩa, tách Banner khỏi App.</t>
  </si>
  <si>
    <t>ESLint clean, code dễ đọc hơn khi review chéo</t>
  </si>
  <si>
    <t>Tại sao React component phải return một root element duy nhất? Fragment hoạt động thế nào và khi nào dùng &lt;&gt;&lt;/&gt; vs &lt;React.Fragment key=...&gt;?</t>
  </si>
  <si>
    <t>Giải thích đúng cơ chế (JSX compile thành 1 lời gọi hàm), ví dụ key trong Fragment hơi sơ sài.</t>
  </si>
  <si>
    <t>Bổ sung ví dụ Fragment có key khi map() list; dùng làm tài liệu training nhóm.</t>
  </si>
  <si>
    <t>Cả nhóm fix được lỗi adjacent elements khi gặp</t>
  </si>
  <si>
    <t>Tạo Banner + Footer, viết Notes_Week2 về JSX, review PR của B và C.</t>
  </si>
  <si>
    <t>ChatGPT-4o giải thích JSX compile và Fragment rõ ràng; ví dụ sát thực tế sau khi đưa code nhóm vào prompt.</t>
  </si>
  <si>
    <t>(1) Ví dụ đầu của AI dùng cú pháp class component cũ. (2) Giải thích Fragment có key quá sơ sài, phải hỏi lại.</t>
  </si>
  <si>
    <t>Thống nhất convention đặt tên component/file giữa 5 người.</t>
  </si>
  <si>
    <t>Lập coding convention chung từ đầu tuần và đưa vào prompt khi nhờ AI sinh code.</t>
  </si>
  <si>
    <t>Tạo Header.jsx hoàn chỉnh, sửa lỗi className và adjacent JSX.</t>
  </si>
  <si>
    <t>Copilot sinh khung Header nhanh ~80%; ChatGPT giải thích lỗi wrap element giúp hiểu bản chất.</t>
  </si>
  <si>
    <t>(1) Copilot sinh class thay className do học từ HTML. (2) Sinh inline style dài dòng không cần thiết.</t>
  </si>
  <si>
    <t>Phân biệt cú pháp JSX với HTML khi copy từ mockup.</t>
  </si>
  <si>
    <t>Đọc diff kỹ từng dòng Copilot sinh ra thay vì accept cả khối.</t>
  </si>
  <si>
    <t>Tạo BookCard + BookGrid render list bằng map(), format giá VND.</t>
  </si>
  <si>
    <t>Copilot sinh cấu trúc card + map nhanh, tiết kiệm ~1h gõ tay.</t>
  </si>
  <si>
    <t>(1) Dùng key={index} — sai khi list thay đổi thứ tự. (2) Không format giá tiền, hiển thị 120000 thô.</t>
  </si>
  <si>
    <t>Hiểu vì sao key phải ổn định và duy nhất.</t>
  </si>
  <si>
    <t>Hỏi AI kèm yêu cầu chất lượng (key, format, accessibility) ngay trong prompt.</t>
  </si>
  <si>
    <t>Viết CategoryList + conditional rendering badge Hết hàng / giảm giá.</t>
  </si>
  <si>
    <t>ChatGPT-4o so sánh ternary vs &amp;&amp; kèm ví dụ đúng ngữ cảnh bán sách.</t>
  </si>
  <si>
    <t>(1) Không cảnh báo bẫy 0 &amp;&amp; render số 0. (2) Ví dụ ban đầu lồng 3 ternary rất khó đọc.</t>
  </si>
  <si>
    <t>Chọn cách viết conditional dễ đọc cho người review.</t>
  </si>
  <si>
    <t>Yêu cầu AI đưa cả best practice và anti-pattern để so sánh.</t>
  </si>
  <si>
    <t>Review chéo 6 component, refactor App.jsx theo Component Tree, cập nhật notes.</t>
  </si>
  <si>
    <t>Claude review code chỉ ra anti-pattern nhanh hơn tự dò; học được lý do đằng sau từng gợi ý.</t>
  </si>
  <si>
    <t>(1) 2/6 gợi ý vượt scope (React.memo khi chưa học hooks). (2) Claude đề xuất đổi cấu trúc thư mục khác với convention nhóm đã chốt.</t>
  </si>
  <si>
    <t>Quyết định gợi ý nào áp dụng ngay, gợi ý nào để sau.</t>
  </si>
  <si>
    <t>Đưa lộ trình môn học vào prompt để AI gợi ý đúng phạm vi tuần.</t>
  </si>
  <si>
    <t>FER202  |  Week 02  |  FPT University — Điền xong nhớ Ctrl+S để lưu!</t>
  </si>
  <si>
    <t>WEEK 03 — Nhật ký AI &amp; Project</t>
  </si>
  <si>
    <t>19/05/2026</t>
  </si>
  <si>
    <t>Giải thích one-way data flow và destructuring props</t>
  </si>
  <si>
    <t>Notes_Week3.md</t>
  </si>
  <si>
    <t>Thêm sơ đồ flow App→BookGrid→BookCard</t>
  </si>
  <si>
    <t>Refactor BookCard nhận props {book, onAddToCart} + destructuring</t>
  </si>
  <si>
    <t>BookCard.jsx</t>
  </si>
  <si>
    <t>Đổi tên prop data→book, thêm default props</t>
  </si>
  <si>
    <t>Render đúng với 3 bộ data khác nhau</t>
  </si>
  <si>
    <t>20/05/2026</t>
  </si>
  <si>
    <t>Tạo Layout component dùng props.children (Header/Footer bọc page)</t>
  </si>
  <si>
    <t>Layout.jsx</t>
  </si>
  <si>
    <t>Bỏ prop thừa showSidebar do AI tự thêm</t>
  </si>
  <si>
    <t>Cả 4 trang render qua Layout OK</t>
  </si>
  <si>
    <t>21/05/2026</t>
  </si>
  <si>
    <t>Viết PropTypes cho BookCard, CategoryList (shape, isRequired)</t>
  </si>
  <si>
    <t>Sửa rating thành PropTypes.number, thêm isRequired</t>
  </si>
  <si>
    <t>Console warning đúng khi truyền sai kiểu</t>
  </si>
  <si>
    <t>22/05/2026</t>
  </si>
  <si>
    <t>Giải thích lỗi mutate props trực tiếp khiến UI không update</t>
  </si>
  <si>
    <t>Viết lại ví dụ đúng với callback props</t>
  </si>
  <si>
    <t>Hết lỗi, cả nhóm hiểu nguyên nhân</t>
  </si>
  <si>
    <t>23/05/2026</t>
  </si>
  <si>
    <t>Sinh RatingStars tái sử dụng (props value, showNumber)</t>
  </si>
  <si>
    <t>RatingStars.jsx</t>
  </si>
  <si>
    <t>Thêm half-star và aria-label</t>
  </si>
  <si>
    <t>Hiển thị đúng các giá trị 0–5</t>
  </si>
  <si>
    <t>Tạo Layout.jsx dùng props.children bọc toàn bộ page</t>
  </si>
  <si>
    <t>Vượt yêu cầu ≥60 TC</t>
  </si>
  <si>
    <t>Tạo RatingStars.jsx tái sử dụng trong BookCard và BookDetail</t>
  </si>
  <si>
    <t>Thêm PropTypes cho 6 component chính</t>
  </si>
  <si>
    <t>components/</t>
  </si>
  <si>
    <t>Refactor BookCard: nhận props book (object) + variant thay vì 7 props rời</t>
  </si>
  <si>
    <t>Sau confirm với dev</t>
  </si>
  <si>
    <t>Chuẩn hóa destructuring props ở tất cả component</t>
  </si>
  <si>
    <t>Bổ sung transition RETURNED→CANCELLED vào State Transition Table</t>
  </si>
  <si>
    <t>TestCases_Week3.xlsx</t>
  </si>
  <si>
    <t>Edge case từ BA</t>
  </si>
  <si>
    <t>Sửa ảnh vỡ khi book.image undefined — thêm fallback placeholder</t>
  </si>
  <si>
    <t>Sửa warning PropTypes: price khai báo string trong khi data là number</t>
  </si>
  <si>
    <t>Thiếu khi tạo lần đầu</t>
  </si>
  <si>
    <t>Prompt #1  (C — ChatGPT-4o)</t>
  </si>
  <si>
    <t>Tạo Layout component trong React dùng props.children để bọc Header và Footer quanh nội dung trang. Giải thích khi nào dùng children thay vì props thường.</t>
  </si>
  <si>
    <t>Code đúng pattern composition, giải thích children rõ; nhưng AI tự thêm prop showSidebar không có trong yêu cầu.</t>
  </si>
  <si>
    <t>Bỏ prop thừa, áp dụng Layout cho cả 4 trang hiện có.</t>
  </si>
  <si>
    <t>4 trang render qua Layout, không còn lặp Header/Footer</t>
  </si>
  <si>
    <t>Prompt #2  (D — Claude)</t>
  </si>
  <si>
    <t>Viết PropTypes cho BookCard nhận book object (id, title, author, price, originalPrice, rating, stock, image) và callback onAddToCart. Dùng PropTypes.shape, đánh dấu field bắt buộc.</t>
  </si>
  <si>
    <t>Claude viết shape đầy đủ nhưng để rating là PropTypes.string và quên isRequired cho id, title.</t>
  </si>
  <si>
    <t>Sửa rating thành number, thêm isRequired cho id/title/price; đồng bộ với schema db.json.</t>
  </si>
  <si>
    <t>Truyền sai kiểu → console warning đúng như mong đợi</t>
  </si>
  <si>
    <t>Prompt #3  (B — GitHub Copilot)</t>
  </si>
  <si>
    <t>Create reusable RatingStars React component with props: value (0-5, allows half star), showNumber. Render filled/half/empty stars, accessible.</t>
  </si>
  <si>
    <t>Copilot dùng Math.round làm mất half-star; không có aria-label.</t>
  </si>
  <si>
    <t>Viết lại logic floor + half star, thêm aria-label "x trên 5 sao".</t>
  </si>
  <si>
    <t>Test 0, 2.5, 4.7, 5 hiển thị đúng số sao</t>
  </si>
  <si>
    <t>Tại sao React áp dụng one-way data flow? Nếu component con muốn thay đổi dữ liệu của cha thì làm thế nào? Ví dụ với nút "Thêm vào giỏ".</t>
  </si>
  <si>
    <t>Giải thích đúng kèm pattern callback props; nhưng ví dụ minh họa dùng class component lỗi thời.</t>
  </si>
  <si>
    <t>Chuyển ví dụ sang functional component; dùng làm tài liệu training cho cả nhóm.</t>
  </si>
  <si>
    <t>Cả nhóm áp dụng đúng pattern callback ở BookCard → App</t>
  </si>
  <si>
    <t>Refactor BookCard nhận props chuẩn (book object + variant), viết tài liệu one-way data flow, review PR.</t>
  </si>
  <si>
    <t>ChatGPT-4o giải thích data flow + callback pattern rõ, tiết kiệm thời gian đọc docs.</t>
  </si>
  <si>
    <t>(1) Ví dụ AI dùng class component lỗi thời so với hooks. (2) AI từng gợi ý truyền 7 props rời cho BookCard — khó bảo trì, phải tự quyết gộp thành object.</t>
  </si>
  <si>
    <t>Quyết định ranh giới: prop nào gộp vào object, prop nào tách riêng.</t>
  </si>
  <si>
    <t>Định nghĩa interface props trước rồi mới nhờ AI sinh code theo interface.</t>
  </si>
  <si>
    <t>Refactor BookCard destructuring + tạo RatingStars với props value/showNumber.</t>
  </si>
  <si>
    <t>Copilot sinh khung component nhanh, autocomplete destructuring chính xác.</t>
  </si>
  <si>
    <t>(1) RatingStars dùng Math.round làm mất nửa sao. (2) Copilot không thêm aria-label — thiếu accessibility.</t>
  </si>
  <si>
    <t>Xử lý hiển thị half-star bằng CSS clip.</t>
  </si>
  <si>
    <t>Liệt kê test case hiển thị trước, rồi yêu cầu AI sinh code thỏa các case đó.</t>
  </si>
  <si>
    <t>Tạo Layout với props.children áp dụng 4 trang; sửa fallback ảnh.</t>
  </si>
  <si>
    <t>ChatGPT-4o giải thích children vs props thường kèm ví dụ dễ hiểu — nắm được composition.</t>
  </si>
  <si>
    <t>(1) AI thêm prop showSidebar thừa ngoài yêu cầu. (2) Ví dụ fallback ảnh dùng thuộc tính onerror viết thường kiểu HTML — trong JSX phải là onError.</t>
  </si>
  <si>
    <t>Làm quen tư duy composition thay vì kế thừa.</t>
  </si>
  <si>
    <t>Yêu cầu AI chỉ trả lời trong scope, không tự thêm tính năng.</t>
  </si>
  <si>
    <t>Thêm PropTypes cho 6 component, chuẩn hóa kiểu dữ liệu khớp db.json.</t>
  </si>
  <si>
    <t>Claude sinh PropTypes.shape nhanh và giải thích từng validator.</t>
  </si>
  <si>
    <t>(1) Claude khai báo rating là string trong khi db.json là number. (2) Quên isRequired cho các field bắt buộc.</t>
  </si>
  <si>
    <t>Đồng bộ kiểu dữ liệu giữa PropTypes và db.json.</t>
  </si>
  <si>
    <t>Đưa schema db.json vào prompt để AI khớp kiểu chính xác.</t>
  </si>
  <si>
    <t>Chuẩn hóa destructuring toàn project, viết Notes_Week3 về lỗi mutate props.</t>
  </si>
  <si>
    <t>ChatGPT-4o giải thích vì sao mutate props không re-render — hiểu sâu cơ chế React.</t>
  </si>
  <si>
    <t>(1) AI nói "props là read-only" nhưng không chỉ ngay giải pháp callback — phải hỏi tiếp. (2) Ví dụ AI chèn nhiều console.log dư thừa.</t>
  </si>
  <si>
    <t>Phát hiện chỗ mutate props ẩn trong code tuần 2.</t>
  </si>
  <si>
    <t>Hỏi AI kèm code thực tế của nhóm thay vì hỏi lý thuyết chung.</t>
  </si>
  <si>
    <t>FER202  |  Week 03  |  FPT University — Điền xong nhớ Ctrl+S để lưu!</t>
  </si>
  <si>
    <t>WEEK 04 — Nhật ký AI &amp; Project</t>
  </si>
  <si>
    <t>26/05/2026</t>
  </si>
  <si>
    <t>Giải thích useState + immutable update cho mảng cart</t>
  </si>
  <si>
    <t>Notes_Week4.md</t>
  </si>
  <si>
    <t>Rút gọn, thêm ví dụ cart thực tế của nhóm</t>
  </si>
  <si>
    <t>Đối chiếu react.dev</t>
  </si>
  <si>
    <t>Tạo SearchBar controlled component (value + onChange)</t>
  </si>
  <si>
    <t>SearchBar.jsx</t>
  </si>
  <si>
    <t>Thêm placeholder, nút clear</t>
  </si>
  <si>
    <t>Gõ phím state cập nhật đúng</t>
  </si>
  <si>
    <t>27/05/2026</t>
  </si>
  <si>
    <t>Viết handleAddToCart: thêm mới hoặc tăng qty nếu trùng id</t>
  </si>
  <si>
    <t>Sửa mutate push → map/spread, clamp qty ≤ stock</t>
  </si>
  <si>
    <t>Test 5 case add đều pass</t>
  </si>
  <si>
    <t>28/05/2026</t>
  </si>
  <si>
    <t>Tạo QuantitySelector (nút ±, min 1, max stock)</t>
  </si>
  <si>
    <t>QuantitySelector.jsx</t>
  </si>
  <si>
    <t>Thêm disable nút khi chạm biên</t>
  </si>
  <si>
    <t>Không cho số âm / vượt stock</t>
  </si>
  <si>
    <t>29/05/2026</t>
  </si>
  <si>
    <t>Giải thích Lifting State Up: cart đặt ở đâu để Header badge thấy</t>
  </si>
  <si>
    <t>Vẽ lại sơ đồ state theo app thực tế</t>
  </si>
  <si>
    <t>Badge cập nhật ngay khi add sách</t>
  </si>
  <si>
    <t>30/05/2026</t>
  </si>
  <si>
    <t>Debug: gọi setCount(count+1) 2 lần chỉ tăng 1 (batching)</t>
  </si>
  <si>
    <t>CartPage.jsx</t>
  </si>
  <si>
    <t>Đổi sang updater function prev =&gt; prev + 1</t>
  </si>
  <si>
    <t>Click +2 tăng đúng 2</t>
  </si>
  <si>
    <t>Chức năng Thêm vào giỏ: cart state ở App (lifting state up)</t>
  </si>
  <si>
    <t>Coverage 94%</t>
  </si>
  <si>
    <t>SearchBar controlled lọc sách theo title/author</t>
  </si>
  <si>
    <t>Coverage 87%</t>
  </si>
  <si>
    <t>QuantitySelector cho trang giỏ hàng</t>
  </si>
  <si>
    <t>Chuyển cart state từ CartPage lên App để Header badge dùng chung</t>
  </si>
  <si>
    <t>Đổi các setState phụ thuộc giá trị cũ sang dạng updater function</t>
  </si>
  <si>
    <t>Refactor OrderServiceTest: extract common setup vào @BeforeEach</t>
  </si>
  <si>
    <t>OrderServiceTest.java</t>
  </si>
  <si>
    <t>Giảm code duplication</t>
  </si>
  <si>
    <t>Sửa giỏ hàng không re-render do push trực tiếp vào array — dùng spread</t>
  </si>
  <si>
    <t>Bug khó, mất 1 buổi debug</t>
  </si>
  <si>
    <t>Sửa QuantitySelector cho phép qty=0 — clamp min 1</t>
  </si>
  <si>
    <t>Tránh inflate coverage</t>
  </si>
  <si>
    <t>Viết hàm handleAddToCart trong React: nhận book, nếu đã có trong cart thì tăng quantity (không vượt stock), chưa có thì thêm mới quantity=1. State cart là mảng object, phải immutable update.</t>
  </si>
  <si>
    <t>Lần đầu AI dùng cart.push(...) rồi setCart(cart) — mutate trực tiếp, UI không update; cũng không kiểm tra stock.</t>
  </si>
  <si>
    <t>Viết lại bằng map + spread; thêm Math.min(qty + 1, stock); chặn add khi stock = 0.</t>
  </si>
  <si>
    <t>Test: thêm trùng id tăng qty, không vượt stock, stock=0 không add — pass 5/5</t>
  </si>
  <si>
    <t>Prompt #2  (B — GitHub Copilot)</t>
  </si>
  <si>
    <t>Create controlled SearchBar component with useState, filter books by title or author, case-insensitive, support Vietnamese text.</t>
  </si>
  <si>
    <t>Copilot sinh filter đúng logic nhưng không bỏ dấu tiếng Việt — gõ "toi" không khớp "tôi".</t>
  </si>
  <si>
    <t>Thêm chuẩn hóa normalize('NFD') + bỏ diacritics trước khi so sánh.</t>
  </si>
  <si>
    <t>Tìm "nguyen" ra sách của tác giả "Nguyễn" — pass</t>
  </si>
  <si>
    <t>Cart state nên đặt ở component nào khi Header (badge) và CartPage cùng cần đọc, BookCard cần ghi? Giải thích Lifting State Up kèm sơ đồ.</t>
  </si>
  <si>
    <t>Claude trả lời đúng (đặt ở App — common ancestor gần nhất), sơ đồ rõ; nhưng gợi ý luôn Context API — vượt scope tuần 4.</t>
  </si>
  <si>
    <t>Áp dụng lifting state up trước; ghi chú lại Context API để dùng ở tuần 7.</t>
  </si>
  <si>
    <t>Header badge cập nhật ngay khi add từ bất kỳ trang nào</t>
  </si>
  <si>
    <t>Prompt #4  (D — ChatGPT-4o)</t>
  </si>
  <si>
    <t>Tại sao gọi setCount(count + 1) hai lần liên tiếp trong một handler chỉ tăng 1? Batching và stale closure là gì? Cách fix?</t>
  </si>
  <si>
    <t>Giải thích batching + stale closure chính xác, có ví dụ minh họa từng bước.</t>
  </si>
  <si>
    <t>Đổi toàn bộ chỗ phụ thuộc giá trị cũ sang setCount(prev =&gt; prev + 1).</t>
  </si>
  <si>
    <t>Nút +2 tăng đúng 2; quiz nhanh trong nhóm ai cũng giải thích được</t>
  </si>
  <si>
    <t>Viết tài liệu useState/immutability, chuẩn hóa updater function, review PR cả tuần.</t>
  </si>
  <si>
    <t>ChatGPT-4o giải thích batching và stale closure dễ hiểu, có demo từng bước.</t>
  </si>
  <si>
    <t>(1) Ví dụ đầu của AI mutate mảng bằng push. (2) AI không nhắc giới hạn theo stock khi tăng qty — thiếu business rule.</t>
  </si>
  <si>
    <t>Truy vết bug không re-render do mutate — mất gần 1 buổi.</t>
  </si>
  <si>
    <t>Đưa business rule (max = stock) vào prompt ngay từ đầu.</t>
  </si>
  <si>
    <t>Làm SearchBar controlled + filter realtime theo title/author.</t>
  </si>
  <si>
    <t>Copilot autocomplete handler onChange nhanh; gợi ý cả debounce (ghi chú lại cho tuần 9).</t>
  </si>
  <si>
    <t>(1) Không xử lý dấu tiếng Việt khi search. (2) Filter chạy mỗi keystroke trên toàn bộ list — chưa tối ưu.</t>
  </si>
  <si>
    <t>Hiểu rõ controlled vs uncontrolled component.</t>
  </si>
  <si>
    <t>Nêu yêu cầu tiếng Việt trong prompt cho mọi tính năng xử lý text.</t>
  </si>
  <si>
    <t>Viết handleAddToCart + lifting state up, test 5 case.</t>
  </si>
  <si>
    <t>ChatGPT-4o gợi ý cấu trúc hàm; sau khi sửa prompt (thêm từ khóa immutable) ra code đúng.</t>
  </si>
  <si>
    <t>(1) Code đầu mutate cart.push — UI không update. (2) Không xử lý case stock=0 vẫn cho thêm vào giỏ.</t>
  </si>
  <si>
    <t>Debug vì sao UI không update dù console.log thấy state "đã đổi".</t>
  </si>
  <si>
    <t>Luôn yêu cầu "immutable update" và liệt kê edge case trong prompt.</t>
  </si>
  <si>
    <t>Làm QuantitySelector clamp min/max, disable nút ở biên.</t>
  </si>
  <si>
    <t>Copilot sinh khung component nhanh; ChatGPT giải thích batching khi debug.</t>
  </si>
  <si>
    <t>(1) Cho phép qty=0 tạo item "ma" trong giỏ. (2) Không disable nút + khi đạt max stock.</t>
  </si>
  <si>
    <t>Đồng bộ qty giữa QuantitySelector và cart state ở App.</t>
  </si>
  <si>
    <t>Viết bảng test case biên (0, 1, stock, stock+1) trước khi code.</t>
  </si>
  <si>
    <t>Lifting state up cho cart, vẽ sơ đồ state toàn app, viết Notes_Week4.</t>
  </si>
  <si>
    <t>Claude vẽ sơ đồ vị trí state rõ, giải thích single source of truth thuyết phục.</t>
  </si>
  <si>
    <t>(1) Claude gợi ý Context API sớm hơn lộ trình môn. (2) Sơ đồ thiếu nhánh BookDetailPage (cũng có nút add).</t>
  </si>
  <si>
    <t>Thuyết phục nhóm đặt state ở App thay vì duplicate ở 2 page.</t>
  </si>
  <si>
    <t>Cung cấp Component Tree hiện tại cho AI để sơ đồ đủ các nhánh.</t>
  </si>
  <si>
    <t>FER202  |  Week 04  |  FPT University — Điền xong nhớ Ctrl+S để lưu!</t>
  </si>
  <si>
    <t>WEEK 05 — Nhật ký AI &amp; Project</t>
  </si>
  <si>
    <t>02/06/2026</t>
  </si>
  <si>
    <t>Chuyển Header sang Navbar react-bootstrap (expand='lg')</t>
  </si>
  <si>
    <t>Bỏ Offcanvas thừa, dùng Navbar.Toggle + Collapse</t>
  </si>
  <si>
    <t>Responsive đúng ở 3 breakpoint</t>
  </si>
  <si>
    <t>Chuyển BookGrid sang Container/Row/Col (xs12 sm6 md4 lg3)</t>
  </si>
  <si>
    <t>Thêm g-4 gutter cho khoảng cách card</t>
  </si>
  <si>
    <t>Không vỡ layout từ 320px–1920px</t>
  </si>
  <si>
    <t>03/06/2026</t>
  </si>
  <si>
    <t>Chuyển BookCard sang Card (Card.Img, Card.Body, Badge)</t>
  </si>
  <si>
    <t>Thêm h-100 cho đều chiều cao, text-truncate title</t>
  </si>
  <si>
    <t>Card đều nhau ở mọi cột</t>
  </si>
  <si>
    <t>04/06/2026</t>
  </si>
  <si>
    <t>Customize màu primary Bootstrap bằng CSS variables</t>
  </si>
  <si>
    <t>src/custom.css</t>
  </si>
  <si>
    <t>Chỉ override biến cần thiết, không dùng !important</t>
  </si>
  <si>
    <t>Màu #0d6efd áp dụng toàn app</t>
  </si>
  <si>
    <t>Giải thích Grid system 12 cột và các breakpoint Bootstrap</t>
  </si>
  <si>
    <t>Notes_Week5.md</t>
  </si>
  <si>
    <t>Tóm tắt thành bảng cheat sheet cho nhóm</t>
  </si>
  <si>
    <t>Đối chiếu docs react-bootstrap</t>
  </si>
  <si>
    <t>05/06/2026</t>
  </si>
  <si>
    <t>Tạo CartPage bằng Table responsive của react-bootstrap</t>
  </si>
  <si>
    <t>Thêm responsive='md', cột Thành tiền</t>
  </si>
  <si>
    <t>Bảng cuộn ngang được trên mobile</t>
  </si>
  <si>
    <t>Navbar responsive với Toggle + Collapse, highlight link active</t>
  </si>
  <si>
    <t>CartPage dùng Table responsive + dòng tổng tiền</t>
  </si>
  <si>
    <t>custom.css override --bs-primary theo style guide</t>
  </si>
  <si>
    <t>Profile it</t>
  </si>
  <si>
    <t>BookGrid sang Grid system xs12/sm6/md4/lg3 + g-4</t>
  </si>
  <si>
    <t>BookCard sang Card với h-100, Badge giảm giá overlay ảnh</t>
  </si>
  <si>
    <t>Bổ sung test script kiểm tra response time &lt; 500ms vào tất cả request</t>
  </si>
  <si>
    <t>Bookstore.postman_collection.json</t>
  </si>
  <si>
    <t>Sửa Navbar fixed-top che nội dung — thêm padding-top cho body</t>
  </si>
  <si>
    <t>Header.jsx, custom.css</t>
  </si>
  <si>
    <t>Sửa title dài làm lệch card — text-truncate 2 dòng</t>
  </si>
  <si>
    <t>Xóa toàn bộ inline style cũ ở 6 component (đã thay bằng react-bootstrap)</t>
  </si>
  <si>
    <t>Prompt #1  (B — GitHub Copilot)</t>
  </si>
  <si>
    <t>Convert this Header component to react-bootstrap Navbar: brand logo, nav links (Trang chủ, Sách, Danh mục, Liên hệ), cart icon with Badge counter, collapse on mobile with expand="lg".</t>
  </si>
  <si>
    <t>Copilot import nhầm từ 'bootstrap' thay vì 'react-bootstrap' và sinh thêm Offcanvas phức tạp ngoài yêu cầu.</t>
  </si>
  <si>
    <t>Sửa import, thay Offcanvas bằng Navbar.Toggle + Navbar.Collapse chuẩn.</t>
  </si>
  <si>
    <t>Test resize 320/768/1200px — menu collapse và mở đúng</t>
  </si>
  <si>
    <t>Prompt #2  (C — ChatGPT-4o)</t>
  </si>
  <si>
    <t>Chuyển BookGrid sang react-bootstrap Grid: mobile 1 cột, tablet 2 cột, desktop 3 cột, màn lớn 4 cột. Khoảng cách đều giữa các card.</t>
  </si>
  <si>
    <t>AI trả về Col xs/sm/md/lg đúng nhưng quên gutter — các card dính sát nhau.</t>
  </si>
  <si>
    <t>Thêm className="g-4" vào Row; kiểm tra lại từng breakpoint.</t>
  </si>
  <si>
    <t>DevTools responsive 5 kích thước — layout không vỡ</t>
  </si>
  <si>
    <t>Prompt #3  (D — GitHub Copilot)</t>
  </si>
  <si>
    <t>Convert BookCard to react-bootstrap Card: Card.Img top with discount Badge overlay, Card.Body with title, author, RatingStars, price (VND + strikethrough original), add-to-cart Button.</t>
  </si>
  <si>
    <t>Card sinh ra thiếu h-100 nên các card lệch chiều cao; Badge đặt trong Body thay vì overlay lên ảnh.</t>
  </si>
  <si>
    <t>Thêm className="h-100", position-absolute cho Badge, text-truncate cho title.</t>
  </si>
  <si>
    <t>8 card đều chiều cao trên mọi cột, badge đúng vị trí mockup</t>
  </si>
  <si>
    <t>Cách đổi màu primary của Bootstrap 5 trong project Vite + react-bootstrap mà không dùng Sass? So sánh CSS variables vs Sass override.</t>
  </si>
  <si>
    <t>AI đưa cả 2 cách nhưng hướng dẫn Sass thiếu bước cài package; phần CSS variables không nhắc đến specificity.</t>
  </si>
  <si>
    <t>Chọn CSS variables: override --bs-primary, --bs-link-color trong :root của custom.css.</t>
  </si>
  <si>
    <t>Toàn bộ nút/link đổi màu đúng, build không lỗi</t>
  </si>
  <si>
    <t>Custom theme CSS variables, review responsive toàn app, hướng dẫn nhóm dùng DevTools device toolbar.</t>
  </si>
  <si>
    <t>ChatGPT-4o so sánh 2 phương án override theme — quyết định nhanh được phương án phù hợp.</t>
  </si>
  <si>
    <t>(1) Hướng dẫn Sass thiếu bước cài đặt package. (2) AI khẳng định cần !important — thực tế không cần khi selector đúng.</t>
  </si>
  <si>
    <t>Màu Badge không ăn theo --bs-primary, phải override riêng.</t>
  </si>
  <si>
    <t>Thử gợi ý của AI trong sandbox nhỏ trước khi áp vào project.</t>
  </si>
  <si>
    <t>Chuyển Header sang Navbar responsive, fix fixed-top che nội dung.</t>
  </si>
  <si>
    <t>Copilot sinh ~80% Navbar, chỉ cần sửa import và cấu trúc collapse.</t>
  </si>
  <si>
    <t>(1) Import sai từ 'bootstrap' thay vì 'react-bootstrap'. (2) Sinh Offcanvas phức tạp ngoài yêu cầu.</t>
  </si>
  <si>
    <t>Hiểu cơ chế Collapse và expand breakpoint.</t>
  </si>
  <si>
    <t>Ghi rõ "use react-bootstrap components only" trong prompt.</t>
  </si>
  <si>
    <t>BookGrid sang Grid system + CartPage Table responsive.</t>
  </si>
  <si>
    <t>ChatGPT giải thích grid 12 cột trực quan; Copilot sinh Table nhanh.</t>
  </si>
  <si>
    <t>(1) Quên g-4 — card dính nhau. (2) Table thiếu prop responsive — tràn màn hình mobile.</t>
  </si>
  <si>
    <t>Chọn breakpoint hợp lý cho card sách (ảnh bìa dọc).</t>
  </si>
  <si>
    <t>Luôn test mobile-first ngay sau khi AI sinh layout.</t>
  </si>
  <si>
    <t>BookCard sang Card + Badge giảm giá, chuẩn hóa chiều cao.</t>
  </si>
  <si>
    <t>Copilot chuyển đổi JSX sang Card markup rất nhanh.</t>
  </si>
  <si>
    <t>(1) Thiếu h-100 làm card lệch chiều cao. (2) Badge đặt sai vị trí — trong Body thay vì overlay ảnh như mockup.</t>
  </si>
  <si>
    <t>CSS position để overlay Badge lên Card.Img.</t>
  </si>
  <si>
    <t>Đính kèm ảnh mockup vào prompt để AI hiểu vị trí phần tử.</t>
  </si>
  <si>
    <t>Xóa inline style cũ, viết cheat sheet Grid/breakpoint, test responsive 6 trang.</t>
  </si>
  <si>
    <t>Claude tóm tắt grid system thành bảng dễ tra cứu cho cả nhóm.</t>
  </si>
  <si>
    <t>(1) Bảng breakpoint Claude ghi md=760px — đúng phải là 768px. (2) Khuyên dùng width px cố định cho container — đi ngược responsive.</t>
  </si>
  <si>
    <t>Truy tìm inline style còn sót trong component cũ.</t>
  </si>
  <si>
    <t>Đối chiếu số liệu AI với docs chính thức trước khi ghi vào notes.</t>
  </si>
  <si>
    <t>FER202  |  Week 05  |  FPT University — Điền xong nhớ Ctrl+S để lưu!</t>
  </si>
  <si>
    <t>WEEK 06 — Nhật ký AI &amp; Project</t>
  </si>
  <si>
    <t>09/06/2026</t>
  </si>
  <si>
    <t>Cấu hình BrowserRouter + Routes cho 6 trang, nested Layout</t>
  </si>
  <si>
    <t>Gom route con vào Layout route + Outlet</t>
  </si>
  <si>
    <t>Điều hướng 6 trang không reload</t>
  </si>
  <si>
    <t>Chuyển Header sang Link/NavLink với class active</t>
  </si>
  <si>
    <t>Sửa href→to, style active bằng className callback</t>
  </si>
  <si>
    <t>Click nav không full reload</t>
  </si>
  <si>
    <t>10/06/2026</t>
  </si>
  <si>
    <t>BookDetailPage đọc useParams id + tìm sách tương ứng</t>
  </si>
  <si>
    <t>BookDetailPage.jsx</t>
  </si>
  <si>
    <t>Thêm Number(id), xử lý id không tồn tại → 404</t>
  </si>
  <si>
    <t>Test 3 id hợp lệ + 2 id sai</t>
  </si>
  <si>
    <t>Viết ProtectedRoute cho /checkout (chưa login → /login)</t>
  </si>
  <si>
    <t>ProtectedRoute.jsx</t>
  </si>
  <si>
    <t>Thêm state.from để login xong quay lại trang đích</t>
  </si>
  <si>
    <t>Login xong quay đúng /checkout</t>
  </si>
  <si>
    <t>11/06/2026</t>
  </si>
  <si>
    <t>Tạo trang NotFound 404 + route path='*'</t>
  </si>
  <si>
    <t>NotFoundPage.jsx</t>
  </si>
  <si>
    <t>Thêm nút quay về trang chủ</t>
  </si>
  <si>
    <t>URL bất kỳ sai → hiển thị 404</t>
  </si>
  <si>
    <t>12/06/2026</t>
  </si>
  <si>
    <t>Debug: refresh /books/3 bị trắng trang trên deploy preview</t>
  </si>
  <si>
    <t>vercel.json</t>
  </si>
  <si>
    <t>Hiểu SPA fallback, thêm rewrite về index.html</t>
  </si>
  <si>
    <t>Refresh giữ nguyên trang</t>
  </si>
  <si>
    <t>React Router: 6 routes + nested Layout route với Outlet</t>
  </si>
  <si>
    <t>WebDriverManager auto-download</t>
  </si>
  <si>
    <t>BookDetailPage đọc useParams, hiển thị đầy đủ thông tin sách</t>
  </si>
  <si>
    <t>ProtectedRoute + LoginPage giả lập (state isLoggedIn)</t>
  </si>
  <si>
    <t>ProtectedRoute.jsx, LoginPage.jsx</t>
  </si>
  <si>
    <t>Header dùng NavLink với className active thay thẻ a</t>
  </si>
  <si>
    <t>Bổ sung NotFoundPage cho mọi URL không khớp (path='*')</t>
  </si>
  <si>
    <t>Thêm ScreenshotOnFailureExtension vào tất cả test class</t>
  </si>
  <si>
    <t>CartTest.java, LoginTest.java</t>
  </si>
  <si>
    <t>Sửa crash khi id không tồn tại — Navigate đến /404</t>
  </si>
  <si>
    <t>Dùng FluentWait ignore StaleElement</t>
  </si>
  <si>
    <t>Sửa refresh route con bị trắng trang — SPA fallback rewrite</t>
  </si>
  <si>
    <t>Chuẩn bị cho deploy tuần 10</t>
  </si>
  <si>
    <t>Bỏ điều hướng bằng window.location còn sót từ bản cũ</t>
  </si>
  <si>
    <t>Prompt #1  (A — ChatGPT-4o)</t>
  </si>
  <si>
    <t>Cấu hình react-router-dom v6 cho app bán sách: /, /books, /books/:id, /cart, /login, /checkout (cần đăng nhập), 404. Layout chung Header/Footer dùng nested route + Outlet.</t>
  </si>
  <si>
    <t>AI trộn cú pháp v5 (Switch, component=) với v6 ở vài đoạn — chạy là lỗi ngay.</t>
  </si>
  <si>
    <t>Chuẩn hóa toàn bộ sang v6: Routes, element={}, Outlet; tổ chức nested route theo Layout.</t>
  </si>
  <si>
    <t>Điều hướng 6 trang + 404 hoạt động, không reload trang</t>
  </si>
  <si>
    <t>Trang chi tiết sách: lấy id từ URL bằng useParams, tìm sách trong mảng books. Xử lý cả trường hợp id không tồn tại và id không phải số.</t>
  </si>
  <si>
    <t>AI quên useParams trả về string — so sánh === với id dạng number luôn fail, tìm không ra sách nào.</t>
  </si>
  <si>
    <t>Thêm Number(id) trước khi find; id sai → &lt;Navigate to="/404" /&gt;.</t>
  </si>
  <si>
    <t>Test id 1, 5, 20 OK; id 999 và 'abc' đều ra trang 404</t>
  </si>
  <si>
    <t>Prompt #3  (D — Claude)</t>
  </si>
  <si>
    <t>Viết ProtectedRoute component cho react-router v6: chưa đăng nhập thì redirect /login, lưu địa chỉ trang đích để sau khi login quay lại đúng trang.</t>
  </si>
  <si>
    <t>Code đúng pattern Navigate + useLocation; nhưng ví dụ ghi isLoggedIn vào localStorage ngay trong component — side effect lộn xộn.</t>
  </si>
  <si>
    <t>Tách logic auth thành state ở App (tuần 7 sẽ chuyển sang Context); dùng state.from để redirect ngược.</t>
  </si>
  <si>
    <t>Vào /checkout chưa login → /login → login xong quay lại /checkout</t>
  </si>
  <si>
    <t>Prompt #4  (B — ChatGPT-4o)</t>
  </si>
  <si>
    <t>Tại sao SPA dùng React Router bị trắng trang khi refresh ở route con? Cách xử lý khi deploy lên Vercel/Netlify?</t>
  </si>
  <si>
    <t>Giải thích đúng nguyên nhân (server không có file /books/3 thật); phần cấu hình platform nói chung chung.</t>
  </si>
  <si>
    <t>Tự tra docs Vercel, thêm vercel.json rewrites tất cả về /index.html.</t>
  </si>
  <si>
    <t>Refresh /books/3 trên preview không còn trắng trang</t>
  </si>
  <si>
    <t>Cấu hình toàn bộ routes + nested Layout, dọn code điều hướng cũ, review PR.</t>
  </si>
  <si>
    <t>ChatGPT-4o dựng khung route nhanh; hiểu được pattern Outlet qua giải thích của AI.</t>
  </si>
  <si>
    <t>(1) AI trộn cú pháp router v5 và v6 trong cùng một câu trả lời. (2) Không nhắc đến index route cho trang chủ — phải tự bổ sung.</t>
  </si>
  <si>
    <t>Phân biệt nested route và route ngang hàng khi tổ chức Layout.</t>
  </si>
  <si>
    <t>Ghi rõ version thư viện (react-router-dom v6) trong mọi prompt.</t>
  </si>
  <si>
    <t>Chuyển nav sang NavLink, sửa lỗi trắng trang khi refresh route con.</t>
  </si>
  <si>
    <t>ChatGPT giải thích cơ chế SPA fallback dễ hiểu — nắm được bản chất vấn đề deploy.</t>
  </si>
  <si>
    <t>(1) Copilot vẫn sinh href thay vì to ở vài chỗ. (2) Câu trả lời về cấu hình Vercel chung chung, phải tự tra docs.</t>
  </si>
  <si>
    <t>Tái hiện lỗi refresh chỉ xảy ra trên deploy, không xảy ra ở dev server.</t>
  </si>
  <si>
    <t>Test trên môi trường giống production sớm thay vì đợi tuần deploy.</t>
  </si>
  <si>
    <t>BookDetailPage với useParams, xử lý id sai, kết nối từ BookCard.</t>
  </si>
  <si>
    <t>ChatGPT-4o sinh khung trang nhanh, gợi ý case id không hợp lệ khi được hỏi thêm.</t>
  </si>
  <si>
    <t>(1) Quên useParams trả string — bug so sánh === không tìm ra sách. (2) Ban đầu không xử lý id không phải số.</t>
  </si>
  <si>
    <t>Debug lỗi tìm không ra sách dù id hiển thị đúng trên URL.</t>
  </si>
  <si>
    <t>Khi nhờ AI sinh code liên quan URL/form, luôn hỏi rõ kiểu dữ liệu trả về.</t>
  </si>
  <si>
    <t>ProtectedRoute + LoginPage giả lập, luồng redirect ngược sau login.</t>
  </si>
  <si>
    <t>Claude trình bày pattern Navigate + useLocation chuẩn, giải thích state.from rõ.</t>
  </si>
  <si>
    <t>(1) Ví dụ ghi localStorage trực tiếp trong component — side effect khó kiểm soát. (2) Không nhắc replace để tránh kẹt nút back.</t>
  </si>
  <si>
    <t>Hiểu luồng redirect 2 chiều giữa login và trang đích.</t>
  </si>
  <si>
    <t>Hỏi AI thêm về edge case (back button, double redirect) thay vì chỉ happy path.</t>
  </si>
  <si>
    <t>Trang NotFound + route '*', test toàn bộ luồng điều hướng 6 trang.</t>
  </si>
  <si>
    <t>ChatGPT sinh trang 404 nhanh kèm nút về trang chủ.</t>
  </si>
  <si>
    <t>(1) AI đặt route '*' trước các route khác trong ví dụ — may là v6 tự xếp độ ưu tiên nhưng giải thích thiếu. (2) Quên Link, dùng thẻ a gây full reload.</t>
  </si>
  <si>
    <t>Liệt kê đủ các case điều hướng cần test (URL tay, back, refresh).</t>
  </si>
  <si>
    <t>Lập checklist test điều hướng chuẩn để dùng lại các tuần sau.</t>
  </si>
  <si>
    <t>FER202  |  Week 06  |  FPT University — Điền xong nhớ Ctrl+S để lưu!</t>
  </si>
  <si>
    <t>WEEK 07 — Nhật ký AI &amp; Project</t>
  </si>
  <si>
    <t>16/06/2026</t>
  </si>
  <si>
    <t>Thiết kế CartContext + Provider thay props drilling</t>
  </si>
  <si>
    <t>context/CartContext.jsx</t>
  </si>
  <si>
    <t>Bọc value bằng useMemo, viết hook useCart</t>
  </si>
  <si>
    <t>Header/Cart/BookCard dùng chung OK</t>
  </si>
  <si>
    <t>useEffect fetch books từ json-server khi mount</t>
  </si>
  <si>
    <t>HomePage.jsx</t>
  </si>
  <si>
    <t>Thêm deps [], cleanup bằng AbortController</t>
  </si>
  <si>
    <t>Không double-fetch ở StrictMode</t>
  </si>
  <si>
    <t>17/06/2026</t>
  </si>
  <si>
    <t>useEffect đổi document.title theo trang/tên sách</t>
  </si>
  <si>
    <t>Thêm cleanup trả title mặc định</t>
  </si>
  <si>
    <t>Title đổi đúng từng trang</t>
  </si>
  <si>
    <t>18/06/2026</t>
  </si>
  <si>
    <t>useRef auto-focus ô search khi mở trang Books</t>
  </si>
  <si>
    <t>Bỏ state thừa, chỉ dùng ref</t>
  </si>
  <si>
    <t>Focus đúng, không re-render thừa</t>
  </si>
  <si>
    <t>19/06/2026</t>
  </si>
  <si>
    <t>Giải thích dependency array: [], [x], không truyền — khác gì</t>
  </si>
  <si>
    <t>Notes_Week7.md</t>
  </si>
  <si>
    <t>Thêm bảng tổng hợp + ví dụ infinite loop</t>
  </si>
  <si>
    <t>20/06/2026</t>
  </si>
  <si>
    <t>Debug infinite loop: setState trong useEffect sai deps</t>
  </si>
  <si>
    <t>BookListPage.jsx</t>
  </si>
  <si>
    <t>Đưa object ra ngoài effect, sửa deps đúng</t>
  </si>
  <si>
    <t>Hết loop, render đúng kỳ vọng</t>
  </si>
  <si>
    <t>CartContext + hook useCart — bỏ props drilling qua 3 cấp</t>
  </si>
  <si>
    <t>Base class cho tất cả pages</t>
  </si>
  <si>
    <t>Fetch books thật từ json-server thay cho data hardcode</t>
  </si>
  <si>
    <t>Auto-focus ô search bằng useRef khi vào trang Books</t>
  </si>
  <si>
    <t>Refactor Header/BookCard/CartPage dùng useCart thay props</t>
  </si>
  <si>
    <t>Code giảm 40%</t>
  </si>
  <si>
    <t>document.title động theo từng trang và tên sách</t>
  </si>
  <si>
    <t>pages/</t>
  </si>
  <si>
    <t>Cập nhật README.md: thêm hướng dẫn chạy với env khác nhau, design decisions</t>
  </si>
  <si>
    <t>Sửa infinite loop useEffect do object literal trong deps</t>
  </si>
  <si>
    <t>Element null nếu quên</t>
  </si>
  <si>
    <t>Sửa double-fetch trong StrictMode bằng AbortController cleanup</t>
  </si>
  <si>
    <t>Bỏ chuỗi props cart truyền qua 3 cấp component (đã có Context)</t>
  </si>
  <si>
    <t>Tạo CartContext cho app bán sách: provider giữ cart state + các hàm addToCart, removeFromCart, updateQuantity, clearCart. Viết thêm custom hook useCart. Tránh re-render thừa.</t>
  </si>
  <si>
    <t>Code đúng pattern createContext + Provider; nhưng value tạo object mới mỗi render (không useMemo) và thiếu cảnh báo dùng useCart ngoài Provider.</t>
  </si>
  <si>
    <t>Bọc value bằng useMemo; thêm throw Error khi useCart gọi ngoài Provider.</t>
  </si>
  <si>
    <t>Header badge, CartPage, BookCard đồng bộ qua Context; React DevTools không re-render thừa</t>
  </si>
  <si>
    <t>Fetch books from json-server in useEffect on mount, with loading and error state, cleanup to avoid setting state after unmount.</t>
  </si>
  <si>
    <t>Copilot quên dependency array — fetch lặp vô hạn; cleanup ban đầu dùng biến boolean isMounted kiểu cũ.</t>
  </si>
  <si>
    <t>Thêm deps [], chuyển cleanup sang AbortController + bắt lỗi AbortError.</t>
  </si>
  <si>
    <t>Network tab chỉ 1 request; StrictMode không gây lỗi setState sau unmount</t>
  </si>
  <si>
    <t>Giải thích 3 trường hợp dependency array của useEffect: không truyền, [], [value]. Khi nào gây infinite loop? Cho ví dụ thực tế với fetch và setState.</t>
  </si>
  <si>
    <t>Bảng so sánh rõ; ví dụ infinite loop đúng nhưng Claude không nhắc trường hợp object/array trong deps đổi reference mỗi render.</t>
  </si>
  <si>
    <t>Bổ sung case object trong deps (nguyên nhân bug của A) vào notes nhóm.</t>
  </si>
  <si>
    <t>Cả nhóm giải thích được bug infinite loop khi review</t>
  </si>
  <si>
    <t>Prompt #4  (C — ChatGPT-4o)</t>
  </si>
  <si>
    <t>Dùng useEffect đổi document.title theo trang ('ReadMore — Giỏ hàng', 'ReadMore — [tên sách]'). Có cần cleanup không?</t>
  </si>
  <si>
    <t>Code đúng, giải thích cleanup hợp lý; nhưng ví dụ đặt effect sau early return — vi phạm rules of hooks.</t>
  </si>
  <si>
    <t>Chuyển effect lên trước mọi return có điều kiện; thêm cleanup trả title mặc định.</t>
  </si>
  <si>
    <t>ESLint react-hooks pass; title đổi đúng khi điều hướng</t>
  </si>
  <si>
    <t>Xây CartContext + useCart, sửa infinite loop, review toàn bộ effect trong app.</t>
  </si>
  <si>
    <t>ChatGPT-4o dựng Context pattern chuẩn nhanh; debug loop nhanh hơn nhờ AI gợi hướng object reference.</t>
  </si>
  <si>
    <t>(1) Value của Provider không useMemo — re-render toàn cây mỗi lần. (2) Không cảnh báo case dùng hook ngoài Provider.</t>
  </si>
  <si>
    <t>Đo và chứng minh re-render thừa bằng React DevTools Profiler.</t>
  </si>
  <si>
    <t>Yêu cầu AI nêu cả vấn đề hiệu năng của giải pháp, không chỉ tính đúng.</t>
  </si>
  <si>
    <t>Fetch data thật bằng useEffect, xử lý loading/error, cleanup chuẩn.</t>
  </si>
  <si>
    <t>Copilot sinh khung fetch nhanh; ChatGPT giải thích vì sao StrictMode mount 2 lần.</t>
  </si>
  <si>
    <t>(1) Quên dependency array gây fetch vô hạn. (2) Cleanup kiểu isMounted cũ thay vì AbortController.</t>
  </si>
  <si>
    <t>Hiểu hành vi double-mount của StrictMode trong dev.</t>
  </si>
  <si>
    <t>Luôn bật Network tab kiểm tra số request ngay sau khi viết effect.</t>
  </si>
  <si>
    <t>document.title động, hỗ trợ D refactor sang useCart.</t>
  </si>
  <si>
    <t>ChatGPT trả lời nhanh kèm giải thích cleanup — áp dụng được ngay.</t>
  </si>
  <si>
    <t>(1) Ví dụ đặt useEffect sau early return — vi phạm rules of hooks. (2) Không nhắc case title khi sách không tồn tại.</t>
  </si>
  <si>
    <t>Nhớ quy tắc hooks phải gọi ở top-level.</t>
  </si>
  <si>
    <t>Bật ESLint plugin react-hooks từ đầu để bắt lỗi sớm.</t>
  </si>
  <si>
    <t>Auto-focus search bằng useRef, dọn state thừa.</t>
  </si>
  <si>
    <t>Copilot sinh đúng pattern ref nhanh chóng.</t>
  </si>
  <si>
    <t>(1) Ban đầu Copilot dùng cả useState + useEffect cho việc chỉ cần ref. (2) Gợi ý document.querySelector — anti-pattern trong React.</t>
  </si>
  <si>
    <t>Phân biệt khi nào cần ref vs state.</t>
  </si>
  <si>
    <t>Hỏi AI 'cách đơn giản nhất đúng chuẩn React' trước khi nhận giải pháp phức tạp.</t>
  </si>
  <si>
    <t>Refactor các component dùng useCart, viết notes deps array, bỏ props drilling.</t>
  </si>
  <si>
    <t>Claude tổng hợp bảng deps array dễ hiểu, ví dụ sát bug thật của nhóm.</t>
  </si>
  <si>
    <t>(1) Thiếu case object/array đổi reference trong deps — đúng nguyên nhân bug của A. (2) Ví dụ cleanup viết thiếu return.</t>
  </si>
  <si>
    <t>Refactor 3 cấp props mà không làm gãy tính năng cũ.</t>
  </si>
  <si>
    <t>Refactor từng component một, chạy test thủ công sau mỗi bước.</t>
  </si>
  <si>
    <t>FER202  |  Week 07  |  FPT University — Điền xong nhớ Ctrl+S để lưu!</t>
  </si>
  <si>
    <t>WEEK 08 — Nhật ký AI &amp; Project</t>
  </si>
  <si>
    <t>23/06/2026</t>
  </si>
  <si>
    <t>Thiết kế service layer: api.js (axios instance) + bookService</t>
  </si>
  <si>
    <t>src/services/</t>
  </si>
  <si>
    <t>Đổi baseURL sang biến env VITE_API_URL</t>
  </si>
  <si>
    <t>4 hàm CRUD chạy đúng</t>
  </si>
  <si>
    <t>Viết getBooks/getBookById/searchBooks với axios params</t>
  </si>
  <si>
    <t>bookService.js</t>
  </si>
  <si>
    <t>Bỏ try/catch nuốt lỗi trong service, để caller xử lý</t>
  </si>
  <si>
    <t>GET list + detail OK</t>
  </si>
  <si>
    <t>24/06/2026</t>
  </si>
  <si>
    <t>POST /orders khi checkout với payload từ cart</t>
  </si>
  <si>
    <t>orderService.js</t>
  </si>
  <si>
    <t>Thêm validate cart rỗng, tính total ở client</t>
  </si>
  <si>
    <t>Order mới xuất hiện trong db.json</t>
  </si>
  <si>
    <t>25/06/2026</t>
  </si>
  <si>
    <t>PATCH cập nhật stock sau đặt hàng; DELETE xóa item giỏ</t>
  </si>
  <si>
    <t>Đổi PUT → PATCH chỉ update field stock</t>
  </si>
  <si>
    <t>Stock giảm đúng sau order</t>
  </si>
  <si>
    <t>Chuẩn hóa pattern loading/error/success cho mọi trang fetch</t>
  </si>
  <si>
    <t>Gộp thành 1 state object {data, loading, error}</t>
  </si>
  <si>
    <t>Spinner + Alert hiển thị đúng 3 trạng thái</t>
  </si>
  <si>
    <t>26/06/2026</t>
  </si>
  <si>
    <t>Debug lỗi Network Error khi json-server chưa chạy</t>
  </si>
  <si>
    <t>api.js</t>
  </si>
  <si>
    <t>Thêm interceptor log lỗi + thông báo thân thiện</t>
  </si>
  <si>
    <t>App không crash khi mất server</t>
  </si>
  <si>
    <t>Service layer: api.js (instance + interceptor) + bookService + orderService</t>
  </si>
  <si>
    <t>Chức năng Checkout: POST /orders + trừ stock sau khi đặt</t>
  </si>
  <si>
    <t>orderService.js, CheckoutPage.jsx</t>
  </si>
  <si>
    <t>Spinner + Alert thống nhất cho 3 trạng thái loading/error/success</t>
  </si>
  <si>
    <t>Toàn bộ component chuyển từ gọi axios trực tiếp sang service layer</t>
  </si>
  <si>
    <t>Mystery Guest → Fixed</t>
  </si>
  <si>
    <t>PUT → PATCH cho update stock (chỉ gửi field thay đổi)</t>
  </si>
  <si>
    <t>Eager Test → Fixed</t>
  </si>
  <si>
    <t>Refactor CartTest: xóa Thread.sleep(), thêm AAA comments</t>
  </si>
  <si>
    <t>CartTest.java</t>
  </si>
  <si>
    <t>Sleeping Test → Fixed</t>
  </si>
  <si>
    <t>Sửa app crash khi json-server tắt — error state + nút Thử lại</t>
  </si>
  <si>
    <t>Sửa double-submit order khi click nhanh — disable nút lúc loading</t>
  </si>
  <si>
    <t>CheckoutPage.jsx</t>
  </si>
  <si>
    <t>Xóa các URL hardcode http://localhost:3001 rải rác trong component</t>
  </si>
  <si>
    <t>Thay bằng VITE_API_URL</t>
  </si>
  <si>
    <t>Thiết kế service layer cho app React + axios + json-server: api.js tạo axios instance (baseURL, timeout, interceptor lỗi), bookService và orderService tách riêng. Component không gọi axios trực tiếp.</t>
  </si>
  <si>
    <t>Cấu trúc đúng; nhưng baseURL hardcode localhost:3001 và interceptor nuốt lỗi (chỉ console.log rồi không reject).</t>
  </si>
  <si>
    <t>Đổi baseURL sang import.meta.env.VITE_API_URL; interceptor reject lỗi kèm message thân thiện.</t>
  </si>
  <si>
    <t>4 hàm CRUD chạy đúng; đổi port chỉ cần sửa .env</t>
  </si>
  <si>
    <t>Viết chức năng checkout: POST /orders với payload {items, total, createdAt} từ cart, sau đó PATCH giảm stock từng sách. Xử lý lỗi từng bước.</t>
  </si>
  <si>
    <t>AI tính total bằng reduce đúng; nhưng không validate cart rỗng và không xử lý trường hợp PATCH stock fail giữa chừng.</t>
  </si>
  <si>
    <t>Thêm guard cart rỗng; gom lỗi PATCH và hiển thị cảnh báo; ghi chú hạn chế (không có transaction) vào báo cáo.</t>
  </si>
  <si>
    <t>Đặt hàng thành công: order trong db.json, stock giảm đúng, giỏ được xóa</t>
  </si>
  <si>
    <t>Update book stock after order with axios: should I use PUT or PATCH with json-server? Write the function.</t>
  </si>
  <si>
    <t>Copilot viết PUT gửi nguyên object book — dư thừa và dễ ghi đè field khác nếu data cũ.</t>
  </si>
  <si>
    <t>Đổi sang PATCH chỉ gửi {stock: newStock}; giải thích khác biệt trong notes.</t>
  </si>
  <si>
    <t>Stock giảm đúng, các field khác của book không bị ghi đè</t>
  </si>
  <si>
    <t>Prompt #4  (E — Claude)</t>
  </si>
  <si>
    <t>Đề xuất pattern thống nhất xử lý 3 trạng thái loading/error/success cho nhiều trang fetch data trong React (chưa dùng thư viện ngoài). Kèm component Spinner và Alert tái sử dụng.</t>
  </si>
  <si>
    <t>Pattern {data, loading, error} hợp lý; nhưng ví dụ set loading=false trong cả then và catch thay vì finally.</t>
  </si>
  <si>
    <t>Dùng finally cho gọn; tạo 2 component LoadingSpinner và ErrorAlert dùng chung.</t>
  </si>
  <si>
    <t>3 trang hiển thị đúng trạng thái khi: bình thường, server tắt, data rỗng</t>
  </si>
  <si>
    <t>Thiết kế service layer hoàn chỉnh, dọn URL hardcode, review luồng CRUD.</t>
  </si>
  <si>
    <t>ChatGPT-4o đề xuất cấu trúc service chuẩn, giải thích interceptor dễ hiểu.</t>
  </si>
  <si>
    <t>(1) baseURL hardcode thay vì env. (2) Interceptor nuốt lỗi khiến caller tưởng thành công.</t>
  </si>
  <si>
    <t>Quy ước nơi xử lý lỗi: service hay component.</t>
  </si>
  <si>
    <t>Định nghĩa convention xử lý lỗi trước khi nhờ AI sinh code service.</t>
  </si>
  <si>
    <t>Viết bookService, chuyển các trang sang service layer, xử lý mất kết nối.</t>
  </si>
  <si>
    <t>Copilot sinh các hàm CRUD nhanh; ChatGPT giúp hiểu cấu trúc error của axios.</t>
  </si>
  <si>
    <t>(1) try/catch trong service nuốt lỗi rồi return undefined — caller crash khi đọc data. (2) Không phân biệt lỗi network và lỗi 4xx.</t>
  </si>
  <si>
    <t>Debug lỗi 'cannot read properties of undefined' do service nuốt lỗi.</t>
  </si>
  <si>
    <t>Quy ước rõ: service throw, component catch — và ghi vào prompt.</t>
  </si>
  <si>
    <t>Chức năng checkout end-to-end: POST order, trừ stock, clear cart.</t>
  </si>
  <si>
    <t>ChatGPT-4o dựng luồng checkout nhanh, gợi ý cấu trúc payload hợp lý.</t>
  </si>
  <si>
    <t>(1) Không validate cart rỗng vẫn cho đặt hàng. (2) Không xử lý PATCH stock fail giữa chừng — dữ liệu lệch.</t>
  </si>
  <si>
    <t>Hiểu giới hạn json-server (không transaction) và chấp nhận trade-off.</t>
  </si>
  <si>
    <t>Liệt kê failure case trong prompt để AI xử lý đủ nhánh lỗi.</t>
  </si>
  <si>
    <t>PATCH stock, DELETE item giỏ, so sánh PUT/PATCH viết notes.</t>
  </si>
  <si>
    <t>Copilot + ChatGPT giải thích khác biệt PUT/PATCH với ví dụ json-server cụ thể.</t>
  </si>
  <si>
    <t>(1) Copilot dùng PUT gửi nguyên object — nguy cơ ghi đè field bằng data cũ. (2) Không bắt lỗi 404 khi id không tồn tại.</t>
  </si>
  <si>
    <t>Chọn đúng HTTP method theo ngữ nghĩa REST.</t>
  </si>
  <si>
    <t>Hỏi AI kèm câu 'phương án này có rủi ro gì' sau mỗi giải pháp.</t>
  </si>
  <si>
    <t>Chuẩn hóa UI 3 trạng thái, tạo LoadingSpinner + ErrorAlert dùng chung.</t>
  </si>
  <si>
    <t>Claude đề xuất pattern state gọn, ví dụ rõ ràng dễ áp dụng cho nhiều trang.</t>
  </si>
  <si>
    <t>(1) Ví dụ set loading trong then/catch thay vì finally — lặp code. (2) Alert của Claude không có nút retry như UX nhóm cần.</t>
  </si>
  <si>
    <t>Thống nhất UX hiển thị lỗi giữa các trang do nhiều người viết.</t>
  </si>
  <si>
    <t>Chốt UX spec (có retry, có skeleton?) trước khi nhờ AI sinh component.</t>
  </si>
  <si>
    <t>FER202  |  Week 08  |  FPT University — Điền xong nhớ Ctrl+S để lưu!</t>
  </si>
  <si>
    <t>WEEK 09 — Nhật ký AI &amp; Project</t>
  </si>
  <si>
    <t>30/06/2026</t>
  </si>
  <si>
    <t>Thiết kế useFetch(url) trả {data, loading, error, refetch}</t>
  </si>
  <si>
    <t>hooks/useFetch.js</t>
  </si>
  <si>
    <t>Thêm AbortController + hàm refetch</t>
  </si>
  <si>
    <t>3 trang dùng chung, hành vi như cũ</t>
  </si>
  <si>
    <t>Viết useDebounce(value, delay) cho ô search</t>
  </si>
  <si>
    <t>hooks/useDebounce.js</t>
  </si>
  <si>
    <t>Đổi delay 500→300ms sau khi test cảm giác gõ</t>
  </si>
  <si>
    <t>Search từ ~10 request còn 1</t>
  </si>
  <si>
    <t>01/07/2026</t>
  </si>
  <si>
    <t>Viết useLocalStorage(key, initialValue) persist giỏ hàng</t>
  </si>
  <si>
    <t>hooks/useLocalStorage.js</t>
  </si>
  <si>
    <t>Thêm try/catch JSON.parse data hỏng</t>
  </si>
  <si>
    <t>F5 trang — giỏ hàng còn nguyên</t>
  </si>
  <si>
    <t>02/07/2026</t>
  </si>
  <si>
    <t>Refactor BookListPage dùng useFetch + useDebounce</t>
  </si>
  <si>
    <t>Giữ component chỉ lo render, logic vào hook</t>
  </si>
  <si>
    <t>Trang chạy như cũ, gọn hơn 40 dòng</t>
  </si>
  <si>
    <t>Review quy tắc custom hook: use- prefix, rules of hooks</t>
  </si>
  <si>
    <t>Notes_Week9.md</t>
  </si>
  <si>
    <t>Tổng hợp checklist review hook cho nhóm</t>
  </si>
  <si>
    <t>ESLint react-hooks pass toàn project</t>
  </si>
  <si>
    <t>03/07/2026</t>
  </si>
  <si>
    <t>Viết useCartTotal tính tổng tiền + số lượng (useMemo)</t>
  </si>
  <si>
    <t>hooks/useCartTotal.js</t>
  </si>
  <si>
    <t>Sửa deps của useMemo cho đúng</t>
  </si>
  <si>
    <t>Tổng tiền đúng với 4 test case</t>
  </si>
  <si>
    <t>Custom hook useFetch dùng chung cho 3 trang fetch data</t>
  </si>
  <si>
    <t>useDebounce cho search — giảm số request khi gõ</t>
  </si>
  <si>
    <t>useLocalStorage persist giỏ hàng qua refresh</t>
  </si>
  <si>
    <t>Refactor BookListPage/HomePage/BookDetailPage dùng custom hooks</t>
  </si>
  <si>
    <t>Code giảm ~40%</t>
  </si>
  <si>
    <t>CartContext dùng useLocalStorage thay useState thuần</t>
  </si>
  <si>
    <t>Bổ sung ZAP baseline scan kết quả vào SecurityReport.md</t>
  </si>
  <si>
    <t>SecurityReport.md</t>
  </si>
  <si>
    <t>Sửa crash JSON.parse khi localStorage chứa data hỏng — fallback initialValue</t>
  </si>
  <si>
    <t>Security best practice</t>
  </si>
  <si>
    <t>Sửa debounce không cleanup timeout khi unmount</t>
  </si>
  <si>
    <t>Xóa logic fetch lặp lại ở từng trang (đã gom vào useFetch)</t>
  </si>
  <si>
    <t>Viết custom hook useFetch(url) cho React: trả về {data, loading, error, refetch}, dùng axios instance có sẵn, hỗ trợ AbortController khi unmount hoặc url đổi.</t>
  </si>
  <si>
    <t>Hook đúng cấu trúc; nhưng refetch ban đầu chỉ gọi lại fetch mà không reset error, và quên đưa url vào deps.</t>
  </si>
  <si>
    <t>Thêm url vào deps, reset error/loading khi refetch; viết JSDoc cho hook.</t>
  </si>
  <si>
    <t>3 trang thay code fetch cũ bằng useFetch — hành vi giữ nguyên, test thủ công pass</t>
  </si>
  <si>
    <t>Prompt #2  (B — Claude)</t>
  </si>
  <si>
    <t>Viết useDebounce(value, delay) trong React kèm giải thích cleanup. Áp dụng cho ô search để giảm số lần filter/gọi API khi user đang gõ.</t>
  </si>
  <si>
    <t>Code chuẩn setTimeout + clearTimeout trong cleanup; Claude đề xuất delay 500ms hơi lớn với cảm giác gõ thực tế.</t>
  </si>
  <si>
    <t>Test với 300ms cho cảm giác mượt hơn; kết hợp useDebounce với useFetch ở trang Books.</t>
  </si>
  <si>
    <t>Network tab: gõ 'harry potter' chỉ 1 request thay vì ~10</t>
  </si>
  <si>
    <t>Prompt #3  (C — GitHub Copilot)</t>
  </si>
  <si>
    <t>Write useLocalStorage(key, initialValue) hook: lazy init from localStorage, sync on set, handle JSON parse errors and quota errors gracefully.</t>
  </si>
  <si>
    <t>Copilot sinh logic chính đúng nhưng không try/catch JSON.parse — data hỏng làm crash app; không dùng lazy initializer.</t>
  </si>
  <si>
    <t>Thêm try/catch fallback initialValue; dùng useState(() =&gt; ...) lazy init.</t>
  </si>
  <si>
    <t>Test: sửa tay localStorage thành chuỗi rác → app vẫn chạy với giỏ rỗng</t>
  </si>
  <si>
    <t>Refactor trang BookListPage này [code đính kèm]: tách logic fetch + search + filter vào custom hooks, component chỉ còn render. Giữ nguyên hành vi.</t>
  </si>
  <si>
    <t>AI tách hook hợp lý nhưng đặt tên getBooksLogic (thiếu use- prefix) và gọi hook trong điều kiện if — vi phạm rules of hooks.</t>
  </si>
  <si>
    <t>Đổi tên thành useBooks, đưa hook lên top-level; chạy lại checklist hành vi.</t>
  </si>
  <si>
    <t>ESLint react-hooks pass; so sánh trước/sau: hành vi giống hệt, ít hơn 40 dòng</t>
  </si>
  <si>
    <t>Thiết kế useFetch + useCartTotal, nâng cấp CartContext persist localStorage.</t>
  </si>
  <si>
    <t>ChatGPT-4o dựng hook đúng pattern nhanh, JSDoc gợi ý sẵn.</t>
  </si>
  <si>
    <t>(1) Quên url trong deps — đổi trang không fetch lại. (2) refetch không reset error khiến Alert cũ còn hiển thị.</t>
  </si>
  <si>
    <t>Thiết kế API của hook (trả gì, nhận gì) cho dễ dùng lại.</t>
  </si>
  <si>
    <t>Viết trước chữ ký hook và case sử dụng rồi mới nhờ AI implement.</t>
  </si>
  <si>
    <t>useDebounce + tích hợp vào search, đo số request thực tế.</t>
  </si>
  <si>
    <t>Claude giải thích cleanup của debounce rất rõ — hiểu sâu vòng đời effect.</t>
  </si>
  <si>
    <t>(1) Delay 500ms gợi ý ban đầu làm UX gõ bị trễ. (2) Ví dụ ban đầu thiếu clearTimeout khi unmount.</t>
  </si>
  <si>
    <t>Chọn delay cân bằng giữa UX và số request.</t>
  </si>
  <si>
    <t>Đo bằng số liệu thực (Network tab) thay vì tin con số AI gợi ý.</t>
  </si>
  <si>
    <t>useLocalStorage chống lỗi data hỏng, persist giỏ hàng.</t>
  </si>
  <si>
    <t>Copilot sinh 80% logic; phần error handling phải tự bổ sung.</t>
  </si>
  <si>
    <t>(1) Không try/catch JSON.parse — crash khi data hỏng. (2) Không lazy init — đọc localStorage mỗi render.</t>
  </si>
  <si>
    <t>Nghĩ đủ edge case của localStorage (hỏng, đầy, bị xóa).</t>
  </si>
  <si>
    <t>Luôn hỏi AI 'hook này fail thế nào' để lộ edge case còn thiếu.</t>
  </si>
  <si>
    <t>Refactor 3 trang dùng custom hooks, đối chiếu hành vi trước/sau.</t>
  </si>
  <si>
    <t>ChatGPT-4o tách logic khỏi UI nhanh, cấu trúc sau refactor sạch hơn hẳn.</t>
  </si>
  <si>
    <t>(1) Đặt tên hook thiếu use- prefix — ESLint không check được rules of hooks. (2) Gọi hook trong if — vi phạm rules of hooks.</t>
  </si>
  <si>
    <t>Refactor lớn mà không có unit test — phải test thủ công kỹ.</t>
  </si>
  <si>
    <t>Lập checklist hành vi trước khi refactor để so sánh sau khi xong.</t>
  </si>
  <si>
    <t>Checklist review custom hook, review 4 hook của nhóm, cập nhật notes.</t>
  </si>
  <si>
    <t>Claude tổng hợp rules of hooks thành checklist ngắn dễ áp dụng.</t>
  </si>
  <si>
    <t>(1) Checklist của Claude thiếu mục cleanup function. (2) Ví dụ minh họa dùng useEffect không deps — dễ gây hiểu lầm.</t>
  </si>
  <si>
    <t>Review hook của người khác đòi hỏi hiểu cả ngữ cảnh sử dụng.</t>
  </si>
  <si>
    <t>Yêu cầu tác giả hook kèm ví dụ sử dụng khi gửi review.</t>
  </si>
  <si>
    <t>FER202  |  Week 09  |  FPT University — Điền xong nhớ Ctrl+S để lưu!</t>
  </si>
  <si>
    <t>WEEK 10 — Nhật ký AI &amp; Project</t>
  </si>
  <si>
    <t>07/07/2026</t>
  </si>
  <si>
    <t>Chuyển cart sang Redux Toolkit: createSlice, store, Provider</t>
  </si>
  <si>
    <t>feature/redux branch</t>
  </si>
  <si>
    <t>Viết selectors, sửa cách mutate theo Immer của RTK</t>
  </si>
  <si>
    <t>Cart hoạt động như bản Context</t>
  </si>
  <si>
    <t>So sánh Context vs Redux Toolkit — khi nào nên dùng gì</t>
  </si>
  <si>
    <t>Notes_Week10.md</t>
  </si>
  <si>
    <t>Tóm tắt thành bảng quyết định cho báo cáo</t>
  </si>
  <si>
    <t>Nhóm thống nhất giữ Context ở main</t>
  </si>
  <si>
    <t>08/07/2026</t>
  </si>
  <si>
    <t>React.lazy + Suspense cho 6 page, đo kích thước bundle</t>
  </si>
  <si>
    <t>Giữ eager cho HomePage, fallback Spinner</t>
  </si>
  <si>
    <t>Bundle ban đầu giảm ~38%</t>
  </si>
  <si>
    <t>Setup Tailwind (branch feature/tailwind), convert BookCard</t>
  </si>
  <si>
    <t>feature/tailwind branch</t>
  </si>
  <si>
    <t>Sửa class responsive md:, bỏ @apply lạm dụng</t>
  </si>
  <si>
    <t>BookCard giống bản Bootstrap ~95%</t>
  </si>
  <si>
    <t>09/07/2026</t>
  </si>
  <si>
    <t>Cấu hình deploy Vercel: build command, rewrite SPA, env</t>
  </si>
  <si>
    <t>Thêm env VITE_API_URL, sửa rewrites</t>
  </si>
  <si>
    <t>Deploy OK, refresh route con OK</t>
  </si>
  <si>
    <t>10/07/2026</t>
  </si>
  <si>
    <t>Checklist hoàn thiện: README, demo script, test 10 luồng chính</t>
  </si>
  <si>
    <t>Bổ sung mục troubleshooting json-server</t>
  </si>
  <si>
    <t>Cả nhóm chạy thử theo README OK</t>
  </si>
  <si>
    <t>Redux Toolkit cart slice + store (branch feature/redux)</t>
  </si>
  <si>
    <t>feature/redux</t>
  </si>
  <si>
    <t>Không merge vào main</t>
  </si>
  <si>
    <t>Tailwind setup + BookCard bản Tailwind (branch feature/tailwind)</t>
  </si>
  <si>
    <t>feature/tailwind</t>
  </si>
  <si>
    <t>So sánh trong báo cáo</t>
  </si>
  <si>
    <t>Deploy production lên Vercel + vercel.json rewrites</t>
  </si>
  <si>
    <t>Link demo trong README</t>
  </si>
  <si>
    <t>Code-splitting React.lazy cho 6 page — bundle giảm ~38%</t>
  </si>
  <si>
    <t>Quality Gate</t>
  </si>
  <si>
    <t>README hoàn chỉnh: setup, scripts, kiến trúc, demo, troubleshooting</t>
  </si>
  <si>
    <t>Thêm Allure.step() cho tất cả E2E test để có detailed execution trace</t>
  </si>
  <si>
    <t>CheckoutTest.java, CartTest.java</t>
  </si>
  <si>
    <t>Sửa production gọi API localhost — chuyển sang env VITE_API_URL</t>
  </si>
  <si>
    <t>api.js, .env</t>
  </si>
  <si>
    <t>Test fail khi DB chưa ready</t>
  </si>
  <si>
    <t>Sửa flash trắng khi chuyển trang lazy — fallback Spinner trong Suspense</t>
  </si>
  <si>
    <t>Coverage tính sai trước khi sửa</t>
  </si>
  <si>
    <t>Xóa code chết + console.log toàn project trước khi build</t>
  </si>
  <si>
    <t>src/</t>
  </si>
  <si>
    <t>Chuyển cart state từ Context API sang Redux Toolkit: createSlice với reducers addToCart, removeFromCart, updateQuantity, clearCart; configureStore; useSelector/useDispatch trong component. Giữ nguyên hành vi gồm clamp theo stock.</t>
  </si>
  <si>
    <t>AI sinh slice chuẩn RTK; nhưng trong reducer lại dùng spread trả object mới kiểu thuần — không tận dụng Immer, và quên logic clamp stock.</t>
  </si>
  <si>
    <t>Viết lại reducer theo style Immer (mutate draft), bổ sung Math.min với stock; viết selectors selectCartTotal.</t>
  </si>
  <si>
    <t>Test 5 case như bản Context — hành vi giống hệt; làm trên branch riêng feature/redux</t>
  </si>
  <si>
    <t>Áp dụng React.lazy + Suspense cho các page của app Vite. Trang nào nên giữ eager? Cách đo hiệu quả bundle trước/sau?</t>
  </si>
  <si>
    <t>Hướng dẫn đúng; nhưng AI khuyên lazy tất cả page kể cả HomePage — làm chậm first paint, và không nói cách đọc output build của Vite.</t>
  </si>
  <si>
    <t>Giữ HomePage eager; chạy npm run build trước/sau, so sánh kích thước chunk trong output.</t>
  </si>
  <si>
    <t>Bundle vào trang đầu giảm ~38%; điều hướng có Spinner, không flash trắng</t>
  </si>
  <si>
    <t>Setup Tailwind CSS in existing Vite React project (separate branch) and convert this BookCard from react-bootstrap to Tailwind utility classes, same visual result.</t>
  </si>
  <si>
    <t>Setup đúng các bước; nhưng class convert thiếu responsive md:/lg:, và Copilot lạm dụng @apply gom hết vào CSS — mất ý nghĩa utility-first.</t>
  </si>
  <si>
    <t>Bổ sung responsive prefixes; bỏ @apply, giữ utility class trong JSX; chụp ảnh so sánh 2 bản.</t>
  </si>
  <si>
    <t>BookCard bản Tailwind giống bản Bootstrap ~95%, đưa vào báo cáo so sánh</t>
  </si>
  <si>
    <t>Prompt #4  (E — ChatGPT-4o)</t>
  </si>
  <si>
    <t>Deploy app Vite React + json-server lên Vercel: cấu hình build, SPA rewrites, biến môi trường VITE_API_URL. Lưu ý json-server không chạy được trên Vercel thì xử lý thế nào?</t>
  </si>
  <si>
    <t>Phần cấu hình Vercel đúng; phần backend AI gợi ý mock service ngoài nhưng không nói rõ giới hạn bản free và CORS.</t>
  </si>
  <si>
    <t>Dùng MockAPI cho data production, giữ json-server cho dev; cấu hình VITE_API_URL theo môi trường.</t>
  </si>
  <si>
    <t>Deploy thành công, demo cuối kỳ chạy trên link Vercel, refresh mọi route OK</t>
  </si>
  <si>
    <t>Redux Toolkit slice trên branch riêng, hoàn thiện README, điều phối demo.</t>
  </si>
  <si>
    <t>ChatGPT-4o giúp nắm RTK nhanh trong 1 buổi; so sánh được 2 cách quản lý state.</t>
  </si>
  <si>
    <t>(1) Reducer AI viết kiểu spread thuần — không tận dụng Immer của RTK. (2) Quên business rule clamp stock khi migrate.</t>
  </si>
  <si>
    <t>Học khái niệm mới (slice, dispatch, selector) trong thời gian ngắn.</t>
  </si>
  <si>
    <t>Khi học công nghệ mới bằng AI: yêu cầu so sánh với cái đã biết (Context) để nắm nhanh hơn.</t>
  </si>
  <si>
    <t>Bảng so sánh Context vs RTK cho báo cáo, dọn code chết, hỗ trợ demo script.</t>
  </si>
  <si>
    <t>Claude phân tích trade-off 2 phương án khá cân bằng, có tiêu chí chọn rõ.</t>
  </si>
  <si>
    <t>(1) Claude thiên về khuyên dùng Redux cho mọi app vừa trở lên — với scope môn học Context là đủ. (2) Bảng so sánh thiếu tiêu chí learning curve.</t>
  </si>
  <si>
    <t>Tổng hợp ý kiến nhóm để chốt giữ Context ở main.</t>
  </si>
  <si>
    <t>Xem AI là một ý kiến tham khảo, quyết định dựa trên scope thực tế của project.</t>
  </si>
  <si>
    <t>Lazy loading 6 page, đo bundle, fix flash trắng.</t>
  </si>
  <si>
    <t>ChatGPT hướng dẫn lazy + Suspense rõ; biết cách đọc output build để chứng minh hiệu quả.</t>
  </si>
  <si>
    <t>(1) Khuyên lazy cả HomePage làm chậm first paint. (2) Không nhắc cách đo bundle — phải tự tìm hiểu output Vite.</t>
  </si>
  <si>
    <t>Chứng minh hiệu quả tối ưu bằng số liệu thay vì cảm tính.</t>
  </si>
  <si>
    <t>Luôn đo trước/sau khi tối ưu; ghi số liệu vào báo cáo.</t>
  </si>
  <si>
    <t>Setup Tailwind branch riêng, convert BookCard + so sánh 2 phong cách styling.</t>
  </si>
  <si>
    <t>Copilot sinh config Tailwind + convert class nhanh, tiết kiệm ~2h.</t>
  </si>
  <si>
    <t>(1) Class convert thiếu responsive prefix md:/lg:. (2) Lạm dụng @apply — mất ưu điểm utility-first.</t>
  </si>
  <si>
    <t>Map tư duy từ component-based (Bootstrap) sang utility-first (Tailwind).</t>
  </si>
  <si>
    <t>Đọc triết lý của framework trước, rồi mới nhờ AI convert code.</t>
  </si>
  <si>
    <t>Deploy Vercel + MockAPI, viết hướng dẫn deploy trong README, test 10 luồng trên production.</t>
  </si>
  <si>
    <t>ChatGPT-4o hướng dẫn cấu hình Vercel chuẩn; xử lý nhanh vụ SPA rewrite nhờ đã gặp ở tuần 6.</t>
  </si>
  <si>
    <t>(1) AI không nói rõ json-server không host được trên Vercel ngay từ đầu. (2) Thiếu cảnh báo CORS khi đổi sang MockAPI.</t>
  </si>
  <si>
    <t>Phối hợp env giữa dev (json-server) và production (MockAPI).</t>
  </si>
  <si>
    <t>Hỏi AI về giới hạn hạ tầng trước khi chọn giải pháp deploy.</t>
  </si>
  <si>
    <t>FER202  |  Week 10  |  FPT University — Điền xong nhớ Ctrl+S để lưu!</t>
  </si>
  <si>
    <t>SUMMARY — Tổng hợp cả học kỳ</t>
  </si>
  <si>
    <t>📊  Tổng số lần dùng AI theo tuần &amp; thành viên (tự động đếm từ các sheet Week)</t>
  </si>
  <si>
    <t>Tuần</t>
  </si>
  <si>
    <t>TV-A</t>
  </si>
  <si>
    <t>TV-B</t>
  </si>
  <si>
    <t>TV-C</t>
  </si>
  <si>
    <t>TV-D</t>
  </si>
  <si>
    <t>TV-E</t>
  </si>
  <si>
    <t>Tổng</t>
  </si>
  <si>
    <t>Week 01</t>
  </si>
  <si>
    <t>Tuần thiết kế — dùng AI design tool (Stitch, Figma Make) là chính</t>
  </si>
  <si>
    <t>Week 02</t>
  </si>
  <si>
    <t>Copilot sinh component nhanh nhưng hay sai key/className</t>
  </si>
  <si>
    <t>Week 03</t>
  </si>
  <si>
    <t>Props + composition; AI hay thêm tính năng ngoài scope</t>
  </si>
  <si>
    <t>Week 04</t>
  </si>
  <si>
    <t>useState + lifting state; bug mutate state điển hình</t>
  </si>
  <si>
    <t>Week 05</t>
  </si>
  <si>
    <t>UI sang react-bootstrap; lỗi import và thiếu gutter phổ biến</t>
  </si>
  <si>
    <t>Week 06</t>
  </si>
  <si>
    <t>Routing v6; lỗi lẫn cú pháp v5 là điểm cần cảnh giác</t>
  </si>
  <si>
    <t>Week 07</t>
  </si>
  <si>
    <t>useEffect/useContext/useRef; Context thay props drilling</t>
  </si>
  <si>
    <t>Week 08</t>
  </si>
  <si>
    <t>CRUD với axios + json-server; service layer</t>
  </si>
  <si>
    <t>Week 09</t>
  </si>
  <si>
    <t>Custom hooks; refactor giảm ~40% code trùng lặp</t>
  </si>
  <si>
    <t>Week 10</t>
  </si>
  <si>
    <t>Redux/Tailwind trên branch riêng; deploy Vercel thành công</t>
  </si>
  <si>
    <t>TỔNG</t>
  </si>
  <si>
    <t>📝  Nhận xét tổng kết học kỳ của nhóm</t>
  </si>
  <si>
    <t>Công cụ AI nhóm dùng nhiều nhất:</t>
  </si>
  <si>
    <t>ChatGPT-4o (~40%), GitHub Copilot (~30%), Claude (~20%), Google Stitch + Figma Make (~10% — tuần thiết kế).</t>
  </si>
  <si>
    <t>Tuần sử dụng AI hiệu quả nhất và lý do:</t>
  </si>
  <si>
    <t>Tuần 9 (Custom Hooks): AI giúp refactor giảm ~40% code trùng lặp mà nhóm vẫn kiểm soát logic, nhờ đã hiểu nền tảng hooks từ tuần 7–8.</t>
  </si>
  <si>
    <t>Điểm hạn chế / rủi ro khi dùng AI trong project:</t>
  </si>
  <si>
    <t>AI hay sinh code mutate state, sai version thư viện (router v5, CRA cũ), bỏ sót business rule (stock, tiếng Việt có dấu) và edge case; không review kỹ sẽ tạo bug ngầm khó truy vết.</t>
  </si>
  <si>
    <t>Bài học lớn nhất từ việc dùng AI trong học kỳ này:</t>
  </si>
  <si>
    <t>AI hiệu quả nhất khi prompt kèm context cụ thể (schema, version, business rule) và mọi output đều được kiểm chứng bằng chạy thử/docs trước khi merge — AI là trợ lý tăng tốc, con người quyết định.</t>
  </si>
  <si>
    <t>Email (*)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</si>
</sst>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1"/>
      <color rgb="FFFFFFFF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5"/>
      <color rgb="FFFFFFFF"/>
      <name val="Arial"/>
      <charset val="1"/>
    </font>
    <font>
      <b/>
      <sz val="10"/>
      <color rgb="FF000000"/>
      <name val="Arial"/>
      <charset val="1"/>
    </font>
    <font>
      <b/>
      <sz val="14"/>
      <color rgb="FFFFFFFF"/>
      <name val="Arial"/>
      <charset val="1"/>
    </font>
    <font>
      <i/>
      <sz val="9"/>
      <color rgb="FF808080"/>
      <name val="Arial"/>
      <charset val="1"/>
    </font>
    <font>
      <b/>
      <i/>
      <sz val="10"/>
      <color rgb="FF000000"/>
      <name val="Arial"/>
      <charset val="1"/>
    </font>
    <font>
      <i/>
      <sz val="9"/>
      <color rgb="FFFFFFFF"/>
      <name val="Arial"/>
      <charset val="1"/>
    </font>
    <font>
      <b/>
      <sz val="10"/>
      <color rgb="FF000000"/>
      <name val="Arial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7030A0"/>
        <bgColor rgb="FF993366"/>
      </patternFill>
    </fill>
    <fill>
      <patternFill patternType="solid">
        <fgColor rgb="FF375623"/>
        <bgColor rgb="FF333300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AD1DC"/>
        <bgColor rgb="FFFCE4D6"/>
      </patternFill>
    </fill>
    <fill>
      <patternFill patternType="solid">
        <fgColor rgb="FFC55A11"/>
        <bgColor rgb="FF993300"/>
      </patternFill>
    </fill>
    <fill>
      <patternFill patternType="solid">
        <fgColor rgb="FFFCE4D6"/>
        <bgColor rgb="FFF2F2F2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6" fillId="11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EAD1DC"/>
      <rgbColor rgb="FF2E75B6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25"/>
  <sheetViews>
    <sheetView showGridLines="0" topLeftCell="A21" zoomScale="183" zoomScaleNormal="183" workbookViewId="0"/>
  </sheetViews>
  <sheetFormatPr defaultColWidth="8.6328125" defaultRowHeight="14.5" x14ac:dyDescent="0.35"/>
  <cols>
    <col min="1" max="1" width="3" customWidth="1"/>
    <col min="2" max="2" width="28" customWidth="1"/>
    <col min="3" max="3" width="84.36328125" customWidth="1"/>
  </cols>
  <sheetData>
    <row r="1" spans="2:3" ht="13.5" customHeight="1" x14ac:dyDescent="0.35"/>
    <row r="2" spans="2:3" ht="36" customHeight="1" x14ac:dyDescent="0.35">
      <c r="B2" s="27" t="s">
        <v>0</v>
      </c>
      <c r="C2" s="27"/>
    </row>
    <row r="3" spans="2:3" ht="18" customHeight="1" x14ac:dyDescent="0.35">
      <c r="B3" s="28" t="s">
        <v>1</v>
      </c>
      <c r="C3" s="28"/>
    </row>
    <row r="5" spans="2:3" ht="19.5" customHeight="1" x14ac:dyDescent="0.35">
      <c r="B5" s="29" t="s">
        <v>2</v>
      </c>
      <c r="C5" s="29"/>
    </row>
    <row r="6" spans="2:3" ht="24.75" customHeight="1" x14ac:dyDescent="0.35">
      <c r="B6" s="15" t="s">
        <v>3</v>
      </c>
      <c r="C6" s="15" t="s">
        <v>4</v>
      </c>
    </row>
    <row r="7" spans="2:3" ht="24.75" customHeight="1" x14ac:dyDescent="0.35">
      <c r="B7" s="15" t="s">
        <v>5</v>
      </c>
      <c r="C7" s="15" t="s">
        <v>6</v>
      </c>
    </row>
    <row r="8" spans="2:3" ht="18" customHeight="1" x14ac:dyDescent="0.35">
      <c r="B8" s="15" t="s">
        <v>7</v>
      </c>
      <c r="C8" s="15" t="s">
        <v>8</v>
      </c>
    </row>
    <row r="10" spans="2:3" ht="19.5" customHeight="1" x14ac:dyDescent="0.35">
      <c r="B10" s="12" t="s">
        <v>9</v>
      </c>
      <c r="C10" s="12"/>
    </row>
    <row r="11" spans="2:3" x14ac:dyDescent="0.35">
      <c r="B11" s="15" t="s">
        <v>10</v>
      </c>
      <c r="C11" s="15" t="s">
        <v>11</v>
      </c>
    </row>
    <row r="12" spans="2:3" x14ac:dyDescent="0.35">
      <c r="B12" s="15" t="s">
        <v>12</v>
      </c>
      <c r="C12" s="15" t="s">
        <v>13</v>
      </c>
    </row>
    <row r="13" spans="2:3" ht="18" customHeight="1" x14ac:dyDescent="0.35">
      <c r="B13" s="15" t="s">
        <v>14</v>
      </c>
      <c r="C13" s="15" t="s">
        <v>15</v>
      </c>
    </row>
    <row r="15" spans="2:3" ht="19.5" customHeight="1" x14ac:dyDescent="0.35">
      <c r="B15" s="7" t="s">
        <v>16</v>
      </c>
      <c r="C15" s="7"/>
    </row>
    <row r="16" spans="2:3" ht="24.75" customHeight="1" x14ac:dyDescent="0.35">
      <c r="B16" s="15" t="s">
        <v>17</v>
      </c>
      <c r="C16" s="15" t="s">
        <v>18</v>
      </c>
    </row>
    <row r="17" spans="2:3" ht="24.75" customHeight="1" x14ac:dyDescent="0.35">
      <c r="B17" s="15" t="s">
        <v>19</v>
      </c>
      <c r="C17" s="15" t="s">
        <v>20</v>
      </c>
    </row>
    <row r="18" spans="2:3" ht="24.75" customHeight="1" x14ac:dyDescent="0.35">
      <c r="B18" s="15" t="s">
        <v>21</v>
      </c>
      <c r="C18" s="15" t="s">
        <v>22</v>
      </c>
    </row>
    <row r="19" spans="2:3" ht="24.75" customHeight="1" x14ac:dyDescent="0.35">
      <c r="B19" s="15" t="s">
        <v>23</v>
      </c>
      <c r="C19" s="15" t="s">
        <v>24</v>
      </c>
    </row>
    <row r="21" spans="2:3" ht="19.5" customHeight="1" x14ac:dyDescent="0.35">
      <c r="B21" s="10" t="s">
        <v>25</v>
      </c>
      <c r="C21" s="10"/>
    </row>
    <row r="22" spans="2:3" x14ac:dyDescent="0.35">
      <c r="B22" s="15" t="s">
        <v>26</v>
      </c>
      <c r="C22" s="15" t="s">
        <v>27</v>
      </c>
    </row>
    <row r="23" spans="2:3" ht="24.75" customHeight="1" x14ac:dyDescent="0.35">
      <c r="B23" s="15" t="s">
        <v>28</v>
      </c>
      <c r="C23" s="15" t="s">
        <v>29</v>
      </c>
    </row>
    <row r="24" spans="2:3" ht="18" customHeight="1" x14ac:dyDescent="0.35">
      <c r="B24" s="15" t="s">
        <v>30</v>
      </c>
      <c r="C24" s="15" t="s">
        <v>31</v>
      </c>
    </row>
    <row r="25" spans="2:3" ht="18" customHeight="1" x14ac:dyDescent="0.35">
      <c r="B25" s="15" t="s">
        <v>32</v>
      </c>
      <c r="C25" s="15" t="s">
        <v>33</v>
      </c>
    </row>
  </sheetData>
  <mergeCells count="6">
    <mergeCell ref="B21:C21"/>
    <mergeCell ref="B2:C2"/>
    <mergeCell ref="B3:C3"/>
    <mergeCell ref="B5:C5"/>
    <mergeCell ref="B10:C10"/>
    <mergeCell ref="B15:C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24"/>
  <sheetViews>
    <sheetView showGridLines="0" zoomScaleNormal="100" workbookViewId="0">
      <selection activeCell="E11" sqref="E11"/>
    </sheetView>
  </sheetViews>
  <sheetFormatPr defaultColWidth="8.6328125" defaultRowHeight="14.5" x14ac:dyDescent="0.35"/>
  <cols>
    <col min="1" max="1" width="3" customWidth="1"/>
    <col min="2" max="2" width="24" customWidth="1"/>
    <col min="3" max="3" width="32.90625" customWidth="1"/>
    <col min="4" max="4" width="18" customWidth="1"/>
    <col min="5" max="5" width="26" customWidth="1"/>
    <col min="6" max="6" width="18" customWidth="1"/>
    <col min="7" max="7" width="20" customWidth="1"/>
  </cols>
  <sheetData>
    <row r="1" spans="2:7" ht="13.5" customHeight="1" x14ac:dyDescent="0.35"/>
    <row r="2" spans="2:7" ht="36" customHeight="1" x14ac:dyDescent="0.35">
      <c r="B2" s="30" t="s">
        <v>34</v>
      </c>
      <c r="C2" s="30"/>
      <c r="D2" s="30"/>
      <c r="E2" s="30"/>
      <c r="F2" s="30"/>
      <c r="G2" s="30"/>
    </row>
    <row r="3" spans="2:7" ht="19.5" customHeight="1" x14ac:dyDescent="0.35">
      <c r="B3" s="12" t="s">
        <v>35</v>
      </c>
      <c r="C3" s="12"/>
      <c r="D3" s="12"/>
      <c r="E3" s="12"/>
      <c r="F3" s="12"/>
      <c r="G3" s="12"/>
    </row>
    <row r="4" spans="2:7" ht="18" customHeight="1" x14ac:dyDescent="0.35">
      <c r="B4" s="16" t="s">
        <v>36</v>
      </c>
      <c r="C4" s="31" t="s">
        <v>37</v>
      </c>
      <c r="D4" s="31"/>
      <c r="E4" s="31"/>
      <c r="F4" s="31"/>
      <c r="G4" s="31"/>
    </row>
    <row r="5" spans="2:7" ht="18" customHeight="1" x14ac:dyDescent="0.35">
      <c r="B5" s="16" t="s">
        <v>38</v>
      </c>
      <c r="C5" s="31" t="s">
        <v>39</v>
      </c>
      <c r="D5" s="31"/>
      <c r="E5" s="31"/>
      <c r="F5" s="31"/>
      <c r="G5" s="31"/>
    </row>
    <row r="6" spans="2:7" ht="18" customHeight="1" x14ac:dyDescent="0.35">
      <c r="B6" s="16" t="s">
        <v>40</v>
      </c>
      <c r="C6" s="31" t="s">
        <v>41</v>
      </c>
      <c r="D6" s="31"/>
      <c r="E6" s="31"/>
      <c r="F6" s="31"/>
      <c r="G6" s="31"/>
    </row>
    <row r="7" spans="2:7" ht="18" customHeight="1" x14ac:dyDescent="0.35">
      <c r="B7" s="16" t="s">
        <v>42</v>
      </c>
      <c r="C7" s="31" t="s">
        <v>43</v>
      </c>
      <c r="D7" s="31"/>
      <c r="E7" s="31"/>
      <c r="F7" s="31"/>
      <c r="G7" s="31"/>
    </row>
    <row r="8" spans="2:7" ht="18" customHeight="1" x14ac:dyDescent="0.35">
      <c r="B8" s="16" t="s">
        <v>44</v>
      </c>
      <c r="C8" s="31" t="s">
        <v>45</v>
      </c>
      <c r="D8" s="31"/>
      <c r="E8" s="31"/>
      <c r="F8" s="31"/>
      <c r="G8" s="31"/>
    </row>
    <row r="10" spans="2:7" ht="19.5" customHeight="1" x14ac:dyDescent="0.35">
      <c r="B10" s="12" t="s">
        <v>46</v>
      </c>
      <c r="C10" s="12"/>
      <c r="D10" s="12"/>
      <c r="E10" s="12"/>
      <c r="F10" s="12"/>
      <c r="G10" s="12"/>
    </row>
    <row r="11" spans="2:7" x14ac:dyDescent="0.35">
      <c r="B11" s="17" t="s">
        <v>47</v>
      </c>
      <c r="C11" s="17" t="s">
        <v>48</v>
      </c>
      <c r="D11" s="17" t="s">
        <v>49</v>
      </c>
      <c r="E11" s="17" t="s">
        <v>1019</v>
      </c>
      <c r="F11" s="17" t="s">
        <v>50</v>
      </c>
      <c r="G11" s="17" t="s">
        <v>51</v>
      </c>
    </row>
    <row r="12" spans="2:7" ht="18" customHeight="1" x14ac:dyDescent="0.35">
      <c r="B12" s="18" t="s">
        <v>52</v>
      </c>
      <c r="C12" s="15"/>
      <c r="D12" s="15"/>
      <c r="E12" s="15"/>
      <c r="F12" s="15" t="s">
        <v>53</v>
      </c>
      <c r="G12" s="15"/>
    </row>
    <row r="13" spans="2:7" ht="18" customHeight="1" x14ac:dyDescent="0.35">
      <c r="B13" s="18" t="s">
        <v>54</v>
      </c>
      <c r="C13" s="15"/>
      <c r="D13" s="15"/>
      <c r="E13" s="15"/>
      <c r="F13" s="15" t="s">
        <v>55</v>
      </c>
      <c r="G13" s="15"/>
    </row>
    <row r="14" spans="2:7" ht="18" customHeight="1" x14ac:dyDescent="0.35">
      <c r="B14" s="18" t="s">
        <v>56</v>
      </c>
      <c r="C14" s="15"/>
      <c r="D14" s="15"/>
      <c r="E14" s="15"/>
      <c r="F14" s="15" t="s">
        <v>55</v>
      </c>
      <c r="G14" s="15"/>
    </row>
    <row r="15" spans="2:7" ht="18" customHeight="1" x14ac:dyDescent="0.35">
      <c r="B15" s="18" t="s">
        <v>57</v>
      </c>
      <c r="C15" s="15"/>
      <c r="D15" s="15"/>
      <c r="E15" s="15"/>
      <c r="F15" s="15" t="s">
        <v>55</v>
      </c>
      <c r="G15" s="15"/>
    </row>
    <row r="16" spans="2:7" ht="18" customHeight="1" x14ac:dyDescent="0.35">
      <c r="B16" s="18" t="s">
        <v>58</v>
      </c>
      <c r="C16" s="15"/>
      <c r="D16" s="15"/>
      <c r="E16" s="15"/>
      <c r="F16" s="15" t="s">
        <v>55</v>
      </c>
      <c r="G16" s="15"/>
    </row>
    <row r="18" spans="2:7" ht="19.5" customHeight="1" x14ac:dyDescent="0.35">
      <c r="B18" s="10" t="s">
        <v>59</v>
      </c>
      <c r="C18" s="10"/>
      <c r="D18" s="10"/>
      <c r="E18" s="10"/>
      <c r="F18" s="10"/>
      <c r="G18" s="10"/>
    </row>
    <row r="19" spans="2:7" ht="19.5" customHeight="1" x14ac:dyDescent="0.35">
      <c r="B19" s="19" t="s">
        <v>60</v>
      </c>
      <c r="C19" s="31" t="s">
        <v>61</v>
      </c>
      <c r="D19" s="31"/>
      <c r="E19" s="31"/>
      <c r="F19" s="31"/>
      <c r="G19" s="31"/>
    </row>
    <row r="20" spans="2:7" ht="19.5" customHeight="1" x14ac:dyDescent="0.35">
      <c r="B20" s="19" t="s">
        <v>62</v>
      </c>
      <c r="C20" s="31" t="s">
        <v>63</v>
      </c>
      <c r="D20" s="31"/>
      <c r="E20" s="31"/>
      <c r="F20" s="31"/>
      <c r="G20" s="31"/>
    </row>
    <row r="21" spans="2:7" ht="19.5" customHeight="1" x14ac:dyDescent="0.35">
      <c r="B21" s="19" t="s">
        <v>64</v>
      </c>
      <c r="C21" s="31" t="s">
        <v>65</v>
      </c>
      <c r="D21" s="31"/>
      <c r="E21" s="31"/>
      <c r="F21" s="31"/>
      <c r="G21" s="31"/>
    </row>
    <row r="22" spans="2:7" ht="19.5" customHeight="1" x14ac:dyDescent="0.35">
      <c r="B22" s="19" t="s">
        <v>66</v>
      </c>
      <c r="C22" s="31" t="s">
        <v>67</v>
      </c>
      <c r="D22" s="31"/>
      <c r="E22" s="31"/>
      <c r="F22" s="31"/>
      <c r="G22" s="31"/>
    </row>
    <row r="23" spans="2:7" ht="19.5" customHeight="1" x14ac:dyDescent="0.35">
      <c r="B23" s="19" t="s">
        <v>68</v>
      </c>
      <c r="C23" s="16"/>
      <c r="D23" s="20"/>
      <c r="E23" s="20"/>
      <c r="F23" s="20"/>
      <c r="G23" s="20"/>
    </row>
    <row r="24" spans="2:7" ht="19.5" customHeight="1" x14ac:dyDescent="0.35">
      <c r="B24" s="19" t="s">
        <v>69</v>
      </c>
      <c r="C24" s="31" t="s">
        <v>70</v>
      </c>
      <c r="D24" s="31"/>
      <c r="E24" s="31"/>
      <c r="F24" s="31"/>
      <c r="G24" s="31"/>
    </row>
  </sheetData>
  <mergeCells count="14">
    <mergeCell ref="C20:G20"/>
    <mergeCell ref="C21:G21"/>
    <mergeCell ref="C22:G22"/>
    <mergeCell ref="C24:G24"/>
    <mergeCell ref="C7:G7"/>
    <mergeCell ref="C8:G8"/>
    <mergeCell ref="B10:G10"/>
    <mergeCell ref="B18:G18"/>
    <mergeCell ref="C19:G19"/>
    <mergeCell ref="B2:G2"/>
    <mergeCell ref="B3:G3"/>
    <mergeCell ref="C4:G4"/>
    <mergeCell ref="C5:G5"/>
    <mergeCell ref="C6:G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94"/>
  <sheetViews>
    <sheetView showGridLines="0" topLeftCell="A71" zoomScaleNormal="100" workbookViewId="0">
      <selection activeCell="B28" sqref="B28:I28"/>
    </sheetView>
  </sheetViews>
  <sheetFormatPr defaultColWidth="8.6328125" defaultRowHeight="14.5" x14ac:dyDescent="0.35"/>
  <cols>
    <col min="1" max="1" width="3" customWidth="1"/>
    <col min="2" max="2" width="12" customWidth="1"/>
    <col min="3" max="3" width="6" customWidth="1"/>
    <col min="4" max="4" width="62.36328125" customWidth="1"/>
    <col min="5" max="5" width="32" customWidth="1"/>
    <col min="6" max="6" width="20" customWidth="1"/>
    <col min="7" max="7" width="19.1796875" customWidth="1"/>
    <col min="8" max="8" width="39.453125" customWidth="1"/>
    <col min="9" max="9" width="40.453125" customWidth="1"/>
  </cols>
  <sheetData>
    <row r="1" spans="2:9" ht="13.5" customHeight="1" x14ac:dyDescent="0.35"/>
    <row r="2" spans="2:9" ht="33.75" customHeight="1" x14ac:dyDescent="0.35">
      <c r="B2" s="14" t="s">
        <v>71</v>
      </c>
      <c r="C2" s="14"/>
      <c r="D2" s="14"/>
      <c r="E2" s="14"/>
      <c r="F2" s="14"/>
      <c r="G2" s="14"/>
      <c r="H2" s="14"/>
      <c r="I2" s="14"/>
    </row>
    <row r="3" spans="2:9" ht="15.75" customHeight="1" x14ac:dyDescent="0.35">
      <c r="B3" s="13" t="s">
        <v>72</v>
      </c>
      <c r="C3" s="13"/>
      <c r="D3" s="13"/>
      <c r="E3" s="13"/>
      <c r="F3" s="13"/>
      <c r="G3" s="13"/>
      <c r="H3" s="13"/>
      <c r="I3" s="13"/>
    </row>
    <row r="5" spans="2:9" ht="21.75" customHeight="1" x14ac:dyDescent="0.35">
      <c r="B5" s="12" t="s">
        <v>73</v>
      </c>
      <c r="C5" s="12"/>
      <c r="D5" s="12"/>
      <c r="E5" s="12"/>
      <c r="F5" s="12"/>
      <c r="G5" s="12"/>
      <c r="H5" s="12"/>
      <c r="I5" s="12"/>
    </row>
    <row r="6" spans="2:9" ht="13.5" customHeight="1" x14ac:dyDescent="0.35">
      <c r="B6" s="11" t="s">
        <v>74</v>
      </c>
      <c r="C6" s="11"/>
      <c r="D6" s="11"/>
      <c r="E6" s="11"/>
      <c r="F6" s="11"/>
      <c r="G6" s="11"/>
      <c r="H6" s="11"/>
      <c r="I6" s="11"/>
    </row>
    <row r="7" spans="2:9" ht="19.5" customHeight="1" x14ac:dyDescent="0.35">
      <c r="B7" s="17" t="s">
        <v>75</v>
      </c>
      <c r="C7" s="17" t="s">
        <v>76</v>
      </c>
      <c r="D7" s="17" t="s">
        <v>77</v>
      </c>
      <c r="E7" s="17" t="s">
        <v>78</v>
      </c>
      <c r="F7" s="17" t="s">
        <v>79</v>
      </c>
      <c r="G7" s="17" t="s">
        <v>80</v>
      </c>
      <c r="H7" s="17" t="s">
        <v>81</v>
      </c>
      <c r="I7" s="17" t="s">
        <v>82</v>
      </c>
    </row>
    <row r="8" spans="2:9" ht="24.75" customHeight="1" x14ac:dyDescent="0.35">
      <c r="B8" s="15" t="s">
        <v>83</v>
      </c>
      <c r="C8" s="15" t="s">
        <v>52</v>
      </c>
      <c r="D8" s="15" t="s">
        <v>84</v>
      </c>
      <c r="E8" s="15" t="s">
        <v>85</v>
      </c>
      <c r="F8" s="15" t="s">
        <v>86</v>
      </c>
      <c r="G8" s="15" t="s">
        <v>87</v>
      </c>
      <c r="H8" s="15" t="s">
        <v>88</v>
      </c>
      <c r="I8" s="15" t="s">
        <v>89</v>
      </c>
    </row>
    <row r="9" spans="2:9" ht="37.5" x14ac:dyDescent="0.35">
      <c r="B9" s="15" t="s">
        <v>83</v>
      </c>
      <c r="C9" s="15" t="s">
        <v>54</v>
      </c>
      <c r="D9" s="15" t="s">
        <v>90</v>
      </c>
      <c r="E9" s="15" t="s">
        <v>91</v>
      </c>
      <c r="F9" s="15" t="s">
        <v>92</v>
      </c>
      <c r="G9" s="15" t="s">
        <v>93</v>
      </c>
      <c r="H9" s="15" t="s">
        <v>94</v>
      </c>
      <c r="I9" s="15" t="s">
        <v>95</v>
      </c>
    </row>
    <row r="10" spans="2:9" ht="24.75" customHeight="1" x14ac:dyDescent="0.35">
      <c r="B10" s="15" t="s">
        <v>96</v>
      </c>
      <c r="C10" s="15" t="s">
        <v>56</v>
      </c>
      <c r="D10" s="15" t="s">
        <v>97</v>
      </c>
      <c r="E10" s="15" t="s">
        <v>98</v>
      </c>
      <c r="F10" s="15" t="s">
        <v>99</v>
      </c>
      <c r="G10" s="15" t="s">
        <v>93</v>
      </c>
      <c r="H10" s="15" t="s">
        <v>100</v>
      </c>
      <c r="I10" s="15" t="s">
        <v>101</v>
      </c>
    </row>
    <row r="11" spans="2:9" ht="24.75" customHeight="1" x14ac:dyDescent="0.35">
      <c r="B11" s="15" t="s">
        <v>96</v>
      </c>
      <c r="C11" s="15" t="s">
        <v>57</v>
      </c>
      <c r="D11" s="15" t="s">
        <v>84</v>
      </c>
      <c r="E11" s="15" t="s">
        <v>102</v>
      </c>
      <c r="F11" s="15" t="s">
        <v>103</v>
      </c>
      <c r="G11" s="15" t="s">
        <v>104</v>
      </c>
      <c r="H11" s="15" t="s">
        <v>105</v>
      </c>
      <c r="I11" s="15" t="s">
        <v>106</v>
      </c>
    </row>
    <row r="12" spans="2:9" ht="24.75" customHeight="1" x14ac:dyDescent="0.35">
      <c r="B12" s="15" t="s">
        <v>107</v>
      </c>
      <c r="C12" s="15" t="s">
        <v>58</v>
      </c>
      <c r="D12" s="15" t="s">
        <v>108</v>
      </c>
      <c r="E12" s="15" t="s">
        <v>109</v>
      </c>
      <c r="F12" s="15" t="s">
        <v>110</v>
      </c>
      <c r="G12" s="15" t="s">
        <v>104</v>
      </c>
      <c r="H12" s="15" t="s">
        <v>111</v>
      </c>
      <c r="I12" s="15" t="s">
        <v>112</v>
      </c>
    </row>
    <row r="13" spans="2:9" ht="18" customHeight="1" x14ac:dyDescent="0.35">
      <c r="B13" s="15" t="s">
        <v>113</v>
      </c>
      <c r="C13" s="15" t="s">
        <v>52</v>
      </c>
      <c r="D13" s="15" t="s">
        <v>114</v>
      </c>
      <c r="E13" s="15" t="s">
        <v>115</v>
      </c>
      <c r="F13" s="15" t="s">
        <v>116</v>
      </c>
      <c r="G13" s="15" t="s">
        <v>87</v>
      </c>
      <c r="H13" s="15" t="s">
        <v>117</v>
      </c>
      <c r="I13" s="15" t="s">
        <v>118</v>
      </c>
    </row>
    <row r="14" spans="2:9" ht="18" customHeight="1" x14ac:dyDescent="0.35">
      <c r="B14" s="15"/>
      <c r="C14" s="15"/>
      <c r="D14" s="15"/>
      <c r="E14" s="15"/>
      <c r="F14" s="15"/>
      <c r="G14" s="15"/>
      <c r="H14" s="15"/>
      <c r="I14" s="15"/>
    </row>
    <row r="15" spans="2:9" ht="18" customHeight="1" x14ac:dyDescent="0.35">
      <c r="B15" s="15"/>
      <c r="C15" s="15"/>
      <c r="D15" s="15"/>
      <c r="E15" s="15"/>
      <c r="F15" s="15"/>
      <c r="G15" s="15"/>
      <c r="H15" s="15"/>
      <c r="I15" s="15"/>
    </row>
    <row r="17" spans="2:9" ht="21.75" customHeight="1" x14ac:dyDescent="0.35">
      <c r="B17" s="10" t="s">
        <v>119</v>
      </c>
      <c r="C17" s="10"/>
      <c r="D17" s="10"/>
      <c r="E17" s="10"/>
      <c r="F17" s="10"/>
      <c r="G17" s="10"/>
      <c r="H17" s="10"/>
      <c r="I17" s="10"/>
    </row>
    <row r="18" spans="2:9" ht="13.5" customHeight="1" x14ac:dyDescent="0.35">
      <c r="B18" s="11" t="s">
        <v>31</v>
      </c>
      <c r="C18" s="11"/>
      <c r="D18" s="11"/>
      <c r="E18" s="11"/>
      <c r="F18" s="11"/>
      <c r="G18" s="11"/>
      <c r="H18" s="11"/>
      <c r="I18" s="11"/>
    </row>
    <row r="19" spans="2:9" ht="19.5" customHeight="1" x14ac:dyDescent="0.35">
      <c r="B19" s="21" t="s">
        <v>120</v>
      </c>
      <c r="C19" s="21" t="s">
        <v>76</v>
      </c>
      <c r="D19" s="9" t="s">
        <v>121</v>
      </c>
      <c r="E19" s="9"/>
      <c r="F19" s="9"/>
      <c r="G19" s="9" t="s">
        <v>122</v>
      </c>
      <c r="H19" s="9"/>
      <c r="I19" s="21" t="s">
        <v>51</v>
      </c>
    </row>
    <row r="20" spans="2:9" ht="15.75" customHeight="1" x14ac:dyDescent="0.35">
      <c r="B20" s="8" t="s">
        <v>123</v>
      </c>
      <c r="C20" s="8"/>
      <c r="D20" s="8"/>
      <c r="E20" s="8"/>
      <c r="F20" s="8"/>
      <c r="G20" s="8"/>
      <c r="H20" s="8"/>
      <c r="I20" s="8"/>
    </row>
    <row r="21" spans="2:9" ht="25" x14ac:dyDescent="0.35">
      <c r="B21" s="15"/>
      <c r="C21" s="15" t="s">
        <v>52</v>
      </c>
      <c r="D21" s="15" t="s">
        <v>124</v>
      </c>
      <c r="E21" s="15"/>
      <c r="F21" s="15"/>
      <c r="G21" s="15" t="s">
        <v>125</v>
      </c>
      <c r="H21" s="15"/>
      <c r="I21" s="15" t="s">
        <v>126</v>
      </c>
    </row>
    <row r="22" spans="2:9" x14ac:dyDescent="0.35">
      <c r="B22" s="15"/>
      <c r="C22" s="15" t="s">
        <v>57</v>
      </c>
      <c r="D22" s="15" t="s">
        <v>127</v>
      </c>
      <c r="E22" s="15"/>
      <c r="F22" s="15"/>
      <c r="G22" s="15" t="s">
        <v>103</v>
      </c>
      <c r="H22" s="15"/>
      <c r="I22" s="15" t="s">
        <v>128</v>
      </c>
    </row>
    <row r="23" spans="2:9" ht="18" customHeight="1" x14ac:dyDescent="0.35">
      <c r="B23" s="15"/>
      <c r="C23" s="15" t="s">
        <v>54</v>
      </c>
      <c r="D23" s="15" t="s">
        <v>129</v>
      </c>
      <c r="E23" s="15"/>
      <c r="F23" s="15"/>
      <c r="G23" s="15" t="s">
        <v>130</v>
      </c>
      <c r="H23" s="15"/>
      <c r="I23" s="15" t="s">
        <v>131</v>
      </c>
    </row>
    <row r="24" spans="2:9" ht="15.75" customHeight="1" x14ac:dyDescent="0.35">
      <c r="B24" s="8" t="s">
        <v>132</v>
      </c>
      <c r="C24" s="8"/>
      <c r="D24" s="8"/>
      <c r="E24" s="8"/>
      <c r="F24" s="8"/>
      <c r="G24" s="8"/>
      <c r="H24" s="8"/>
      <c r="I24" s="8"/>
    </row>
    <row r="25" spans="2:9" ht="18" customHeight="1" x14ac:dyDescent="0.35">
      <c r="B25" s="15"/>
      <c r="C25" s="15" t="s">
        <v>58</v>
      </c>
      <c r="D25" s="15" t="s">
        <v>133</v>
      </c>
      <c r="E25" s="15"/>
      <c r="F25" s="15"/>
      <c r="G25" s="15" t="s">
        <v>110</v>
      </c>
      <c r="H25" s="15"/>
      <c r="I25" s="15"/>
    </row>
    <row r="26" spans="2:9" ht="18" customHeight="1" x14ac:dyDescent="0.35">
      <c r="B26" s="15"/>
      <c r="C26" s="15" t="s">
        <v>56</v>
      </c>
      <c r="D26" s="15" t="s">
        <v>134</v>
      </c>
      <c r="E26" s="15"/>
      <c r="F26" s="15"/>
      <c r="G26" s="15" t="s">
        <v>135</v>
      </c>
      <c r="H26" s="15"/>
      <c r="I26" s="15"/>
    </row>
    <row r="27" spans="2:9" ht="18" customHeight="1" x14ac:dyDescent="0.35">
      <c r="B27" s="15"/>
      <c r="C27" s="15" t="s">
        <v>54</v>
      </c>
      <c r="D27" s="15" t="s">
        <v>136</v>
      </c>
      <c r="E27" s="15"/>
      <c r="F27" s="15"/>
      <c r="G27" s="15" t="s">
        <v>137</v>
      </c>
      <c r="H27" s="15"/>
      <c r="I27" s="15"/>
    </row>
    <row r="28" spans="2:9" ht="15.75" customHeight="1" x14ac:dyDescent="0.35">
      <c r="B28" s="8" t="s">
        <v>138</v>
      </c>
      <c r="C28" s="8"/>
      <c r="D28" s="8"/>
      <c r="E28" s="8"/>
      <c r="F28" s="8"/>
      <c r="G28" s="8"/>
      <c r="H28" s="8"/>
      <c r="I28" s="8"/>
    </row>
    <row r="29" spans="2:9" ht="18" customHeight="1" x14ac:dyDescent="0.35">
      <c r="B29" s="15"/>
      <c r="C29" s="15" t="s">
        <v>57</v>
      </c>
      <c r="D29" s="15" t="s">
        <v>139</v>
      </c>
      <c r="E29" s="15"/>
      <c r="F29" s="15"/>
      <c r="G29" s="15" t="s">
        <v>103</v>
      </c>
      <c r="H29" s="15"/>
      <c r="I29" s="15" t="s">
        <v>140</v>
      </c>
    </row>
    <row r="30" spans="2:9" ht="18" customHeight="1" x14ac:dyDescent="0.35">
      <c r="B30" s="15"/>
      <c r="C30" s="15" t="s">
        <v>54</v>
      </c>
      <c r="D30" s="15" t="s">
        <v>141</v>
      </c>
      <c r="E30" s="15"/>
      <c r="F30" s="15"/>
      <c r="G30" s="15" t="s">
        <v>92</v>
      </c>
      <c r="H30" s="15"/>
      <c r="I30" s="15" t="s">
        <v>142</v>
      </c>
    </row>
    <row r="31" spans="2:9" ht="18" customHeight="1" x14ac:dyDescent="0.35">
      <c r="B31" s="15"/>
      <c r="C31" s="15"/>
      <c r="D31" s="15"/>
      <c r="E31" s="15"/>
      <c r="F31" s="15"/>
      <c r="G31" s="15"/>
      <c r="H31" s="15"/>
      <c r="I31" s="15"/>
    </row>
    <row r="32" spans="2:9" ht="15.75" customHeight="1" x14ac:dyDescent="0.35">
      <c r="B32" s="8" t="s">
        <v>143</v>
      </c>
      <c r="C32" s="8"/>
      <c r="D32" s="8"/>
      <c r="E32" s="8"/>
      <c r="F32" s="8"/>
      <c r="G32" s="8"/>
      <c r="H32" s="8"/>
      <c r="I32" s="8"/>
    </row>
    <row r="33" spans="2:9" ht="18" customHeight="1" x14ac:dyDescent="0.35">
      <c r="B33" s="15"/>
      <c r="C33" s="15"/>
      <c r="D33" s="15"/>
      <c r="E33" s="15"/>
      <c r="F33" s="15"/>
      <c r="G33" s="15"/>
      <c r="H33" s="15"/>
      <c r="I33" s="15"/>
    </row>
    <row r="34" spans="2:9" ht="18" customHeight="1" x14ac:dyDescent="0.35">
      <c r="B34" s="15"/>
      <c r="C34" s="15"/>
      <c r="D34" s="15"/>
      <c r="E34" s="15"/>
      <c r="F34" s="15"/>
      <c r="G34" s="15"/>
      <c r="H34" s="15"/>
      <c r="I34" s="15"/>
    </row>
    <row r="35" spans="2:9" ht="18" customHeight="1" x14ac:dyDescent="0.35">
      <c r="B35" s="15"/>
      <c r="C35" s="15"/>
      <c r="D35" s="15"/>
      <c r="E35" s="15"/>
      <c r="F35" s="15"/>
      <c r="G35" s="15"/>
      <c r="H35" s="15"/>
      <c r="I35" s="15"/>
    </row>
    <row r="37" spans="2:9" ht="21.75" customHeight="1" x14ac:dyDescent="0.35">
      <c r="B37" s="7" t="s">
        <v>144</v>
      </c>
      <c r="C37" s="7"/>
      <c r="D37" s="7"/>
      <c r="E37" s="7"/>
      <c r="F37" s="7"/>
      <c r="G37" s="7"/>
      <c r="H37" s="7"/>
      <c r="I37" s="7"/>
    </row>
    <row r="38" spans="2:9" ht="13.5" customHeight="1" x14ac:dyDescent="0.35">
      <c r="B38" s="11" t="s">
        <v>145</v>
      </c>
      <c r="C38" s="11"/>
      <c r="D38" s="11"/>
      <c r="E38" s="11"/>
      <c r="F38" s="11"/>
      <c r="G38" s="11"/>
      <c r="H38" s="11"/>
      <c r="I38" s="11"/>
    </row>
    <row r="39" spans="2:9" ht="19.5" customHeight="1" x14ac:dyDescent="0.35">
      <c r="B39" s="22" t="s">
        <v>146</v>
      </c>
      <c r="C39" s="22" t="s">
        <v>147</v>
      </c>
      <c r="D39" s="22" t="s">
        <v>148</v>
      </c>
      <c r="E39" s="6" t="s">
        <v>149</v>
      </c>
      <c r="F39" s="6"/>
      <c r="G39" s="6"/>
      <c r="H39" s="6"/>
      <c r="I39" s="6"/>
    </row>
    <row r="40" spans="2:9" ht="21.75" customHeight="1" x14ac:dyDescent="0.35">
      <c r="B40" s="5" t="s">
        <v>150</v>
      </c>
      <c r="C40" s="5"/>
      <c r="D40" s="5"/>
      <c r="E40" s="4" t="s">
        <v>151</v>
      </c>
      <c r="F40" s="4"/>
      <c r="G40" s="4"/>
      <c r="H40" s="4"/>
      <c r="I40" s="4"/>
    </row>
    <row r="41" spans="2:9" ht="21.75" customHeight="1" x14ac:dyDescent="0.35">
      <c r="B41" s="3" t="s">
        <v>152</v>
      </c>
      <c r="C41" s="3"/>
      <c r="D41" s="3"/>
      <c r="E41" s="4" t="s">
        <v>153</v>
      </c>
      <c r="F41" s="4"/>
      <c r="G41" s="4"/>
      <c r="H41" s="4"/>
      <c r="I41" s="4"/>
    </row>
    <row r="42" spans="2:9" ht="21.75" customHeight="1" x14ac:dyDescent="0.35">
      <c r="B42" s="3" t="s">
        <v>154</v>
      </c>
      <c r="C42" s="3"/>
      <c r="D42" s="3"/>
      <c r="E42" s="4" t="s">
        <v>155</v>
      </c>
      <c r="F42" s="4"/>
      <c r="G42" s="4"/>
      <c r="H42" s="4"/>
      <c r="I42" s="4"/>
    </row>
    <row r="43" spans="2:9" ht="21.75" customHeight="1" x14ac:dyDescent="0.35">
      <c r="B43" s="3" t="s">
        <v>156</v>
      </c>
      <c r="C43" s="3"/>
      <c r="D43" s="3"/>
      <c r="E43" s="4" t="s">
        <v>157</v>
      </c>
      <c r="F43" s="4"/>
      <c r="G43" s="4"/>
      <c r="H43" s="4"/>
      <c r="I43" s="4"/>
    </row>
    <row r="44" spans="2:9" ht="21.75" customHeight="1" x14ac:dyDescent="0.35">
      <c r="B44" s="5" t="s">
        <v>158</v>
      </c>
      <c r="C44" s="5"/>
      <c r="D44" s="5"/>
      <c r="E44" s="4" t="s">
        <v>159</v>
      </c>
      <c r="F44" s="4"/>
      <c r="G44" s="4"/>
      <c r="H44" s="4"/>
      <c r="I44" s="4"/>
    </row>
    <row r="45" spans="2:9" ht="21.75" customHeight="1" x14ac:dyDescent="0.35">
      <c r="B45" s="3" t="s">
        <v>152</v>
      </c>
      <c r="C45" s="3"/>
      <c r="D45" s="3"/>
      <c r="E45" s="4" t="s">
        <v>160</v>
      </c>
      <c r="F45" s="4"/>
      <c r="G45" s="4"/>
      <c r="H45" s="4"/>
      <c r="I45" s="4"/>
    </row>
    <row r="46" spans="2:9" ht="21.75" customHeight="1" x14ac:dyDescent="0.35">
      <c r="B46" s="3" t="s">
        <v>154</v>
      </c>
      <c r="C46" s="3"/>
      <c r="D46" s="3"/>
      <c r="E46" s="4" t="s">
        <v>161</v>
      </c>
      <c r="F46" s="4"/>
      <c r="G46" s="4"/>
      <c r="H46" s="4"/>
      <c r="I46" s="4"/>
    </row>
    <row r="47" spans="2:9" ht="21.75" customHeight="1" x14ac:dyDescent="0.35">
      <c r="B47" s="3" t="s">
        <v>156</v>
      </c>
      <c r="C47" s="3"/>
      <c r="D47" s="3"/>
      <c r="E47" s="4" t="s">
        <v>162</v>
      </c>
      <c r="F47" s="4"/>
      <c r="G47" s="4"/>
      <c r="H47" s="4"/>
      <c r="I47" s="4"/>
    </row>
    <row r="48" spans="2:9" ht="21.75" customHeight="1" x14ac:dyDescent="0.35">
      <c r="B48" s="5" t="s">
        <v>163</v>
      </c>
      <c r="C48" s="5"/>
      <c r="D48" s="5"/>
      <c r="E48" s="4" t="s">
        <v>164</v>
      </c>
      <c r="F48" s="4"/>
      <c r="G48" s="4"/>
      <c r="H48" s="4"/>
      <c r="I48" s="4"/>
    </row>
    <row r="49" spans="2:9" ht="21.75" customHeight="1" x14ac:dyDescent="0.35">
      <c r="B49" s="3" t="s">
        <v>152</v>
      </c>
      <c r="C49" s="3"/>
      <c r="D49" s="3"/>
      <c r="E49" s="4" t="s">
        <v>165</v>
      </c>
      <c r="F49" s="4"/>
      <c r="G49" s="4"/>
      <c r="H49" s="4"/>
      <c r="I49" s="4"/>
    </row>
    <row r="50" spans="2:9" ht="21.75" customHeight="1" x14ac:dyDescent="0.35">
      <c r="B50" s="3" t="s">
        <v>154</v>
      </c>
      <c r="C50" s="3"/>
      <c r="D50" s="3"/>
      <c r="E50" s="4" t="s">
        <v>166</v>
      </c>
      <c r="F50" s="4"/>
      <c r="G50" s="4"/>
      <c r="H50" s="4"/>
      <c r="I50" s="4"/>
    </row>
    <row r="51" spans="2:9" ht="21.75" customHeight="1" x14ac:dyDescent="0.35">
      <c r="B51" s="3" t="s">
        <v>156</v>
      </c>
      <c r="C51" s="3"/>
      <c r="D51" s="3"/>
      <c r="E51" s="4" t="s">
        <v>167</v>
      </c>
      <c r="F51" s="4"/>
      <c r="G51" s="4"/>
      <c r="H51" s="4"/>
      <c r="I51" s="4"/>
    </row>
    <row r="52" spans="2:9" ht="21.75" customHeight="1" x14ac:dyDescent="0.35">
      <c r="B52" s="5" t="s">
        <v>168</v>
      </c>
      <c r="C52" s="5"/>
      <c r="D52" s="5"/>
      <c r="E52" s="4" t="s">
        <v>169</v>
      </c>
      <c r="F52" s="4"/>
      <c r="G52" s="4"/>
      <c r="H52" s="4"/>
      <c r="I52" s="4"/>
    </row>
    <row r="53" spans="2:9" ht="21.75" customHeight="1" x14ac:dyDescent="0.35">
      <c r="B53" s="3" t="s">
        <v>152</v>
      </c>
      <c r="C53" s="3"/>
      <c r="D53" s="3"/>
      <c r="E53" s="4" t="s">
        <v>170</v>
      </c>
      <c r="F53" s="4"/>
      <c r="G53" s="4"/>
      <c r="H53" s="4"/>
      <c r="I53" s="4"/>
    </row>
    <row r="54" spans="2:9" ht="21.75" customHeight="1" x14ac:dyDescent="0.35">
      <c r="B54" s="3" t="s">
        <v>154</v>
      </c>
      <c r="C54" s="3"/>
      <c r="D54" s="3"/>
      <c r="E54" s="4" t="s">
        <v>171</v>
      </c>
      <c r="F54" s="4"/>
      <c r="G54" s="4"/>
      <c r="H54" s="4"/>
      <c r="I54" s="4"/>
    </row>
    <row r="55" spans="2:9" ht="21.75" customHeight="1" x14ac:dyDescent="0.35">
      <c r="B55" s="3" t="s">
        <v>156</v>
      </c>
      <c r="C55" s="3"/>
      <c r="D55" s="3"/>
      <c r="E55" s="4" t="s">
        <v>172</v>
      </c>
      <c r="F55" s="4"/>
      <c r="G55" s="4"/>
      <c r="H55" s="4"/>
      <c r="I55" s="4"/>
    </row>
    <row r="56" spans="2:9" x14ac:dyDescent="0.35">
      <c r="E56" s="4"/>
      <c r="F56" s="4"/>
      <c r="G56" s="4"/>
      <c r="H56" s="4"/>
      <c r="I56" s="4"/>
    </row>
    <row r="57" spans="2:9" ht="21.75" customHeight="1" x14ac:dyDescent="0.35">
      <c r="B57" s="2" t="s">
        <v>173</v>
      </c>
      <c r="C57" s="2"/>
      <c r="D57" s="2"/>
      <c r="E57" s="2"/>
      <c r="F57" s="2"/>
      <c r="G57" s="2"/>
      <c r="H57" s="2"/>
      <c r="I57" s="2"/>
    </row>
    <row r="58" spans="2:9" ht="13.5" customHeight="1" x14ac:dyDescent="0.35">
      <c r="B58" s="11" t="s">
        <v>174</v>
      </c>
      <c r="C58" s="11"/>
      <c r="D58" s="11"/>
      <c r="E58" s="11"/>
      <c r="F58" s="11"/>
      <c r="G58" s="11"/>
      <c r="H58" s="11"/>
      <c r="I58" s="11"/>
    </row>
    <row r="59" spans="2:9" ht="18" customHeight="1" x14ac:dyDescent="0.35">
      <c r="B59" s="1" t="s">
        <v>175</v>
      </c>
      <c r="C59" s="1"/>
      <c r="D59" s="1"/>
      <c r="E59" s="1"/>
      <c r="F59" s="1"/>
      <c r="G59" s="1"/>
      <c r="H59" s="1"/>
      <c r="I59" s="1"/>
    </row>
    <row r="60" spans="2:9" ht="18" customHeight="1" x14ac:dyDescent="0.35">
      <c r="B60" s="24" t="s">
        <v>176</v>
      </c>
      <c r="C60" s="24"/>
      <c r="D60" s="24"/>
      <c r="E60" s="25" t="s">
        <v>177</v>
      </c>
      <c r="F60" s="25"/>
      <c r="G60" s="25"/>
      <c r="H60" s="25"/>
      <c r="I60" s="25"/>
    </row>
    <row r="61" spans="2:9" ht="18" customHeight="1" x14ac:dyDescent="0.35">
      <c r="B61" s="24" t="s">
        <v>178</v>
      </c>
      <c r="C61" s="24"/>
      <c r="D61" s="24"/>
      <c r="E61" s="25" t="s">
        <v>179</v>
      </c>
      <c r="F61" s="25"/>
      <c r="G61" s="25"/>
      <c r="H61" s="25"/>
      <c r="I61" s="25"/>
    </row>
    <row r="62" spans="2:9" ht="18" customHeight="1" x14ac:dyDescent="0.35">
      <c r="B62" s="24" t="s">
        <v>180</v>
      </c>
      <c r="C62" s="24"/>
      <c r="D62" s="24"/>
      <c r="E62" s="25" t="s">
        <v>181</v>
      </c>
      <c r="F62" s="25"/>
      <c r="G62" s="25"/>
      <c r="H62" s="25"/>
      <c r="I62" s="25"/>
    </row>
    <row r="63" spans="2:9" ht="18" customHeight="1" x14ac:dyDescent="0.35">
      <c r="B63" s="24" t="s">
        <v>182</v>
      </c>
      <c r="C63" s="24"/>
      <c r="D63" s="24"/>
      <c r="E63" s="25" t="s">
        <v>183</v>
      </c>
      <c r="F63" s="25"/>
      <c r="G63" s="25"/>
      <c r="H63" s="25"/>
      <c r="I63" s="25"/>
    </row>
    <row r="64" spans="2:9" ht="18" customHeight="1" x14ac:dyDescent="0.35">
      <c r="B64" s="24" t="s">
        <v>184</v>
      </c>
      <c r="C64" s="24"/>
      <c r="D64" s="24"/>
      <c r="E64" s="25" t="s">
        <v>185</v>
      </c>
      <c r="F64" s="25"/>
      <c r="G64" s="25"/>
      <c r="H64" s="25"/>
      <c r="I64" s="25"/>
    </row>
    <row r="66" spans="2:9" ht="18" customHeight="1" x14ac:dyDescent="0.35">
      <c r="B66" s="1" t="s">
        <v>186</v>
      </c>
      <c r="C66" s="1"/>
      <c r="D66" s="1"/>
      <c r="E66" s="1"/>
      <c r="F66" s="1"/>
      <c r="G66" s="1"/>
      <c r="H66" s="1"/>
      <c r="I66" s="1"/>
    </row>
    <row r="67" spans="2:9" ht="18" customHeight="1" x14ac:dyDescent="0.35">
      <c r="B67" s="24" t="s">
        <v>176</v>
      </c>
      <c r="C67" s="24"/>
      <c r="D67" s="24"/>
      <c r="E67" s="25" t="s">
        <v>187</v>
      </c>
      <c r="F67" s="25"/>
      <c r="G67" s="25"/>
      <c r="H67" s="25"/>
      <c r="I67" s="25"/>
    </row>
    <row r="68" spans="2:9" ht="18" customHeight="1" x14ac:dyDescent="0.35">
      <c r="B68" s="24" t="s">
        <v>178</v>
      </c>
      <c r="C68" s="24"/>
      <c r="D68" s="24"/>
      <c r="E68" s="25" t="s">
        <v>188</v>
      </c>
      <c r="F68" s="25"/>
      <c r="G68" s="25"/>
      <c r="H68" s="25"/>
      <c r="I68" s="25"/>
    </row>
    <row r="69" spans="2:9" ht="18" customHeight="1" x14ac:dyDescent="0.35">
      <c r="B69" s="24" t="s">
        <v>180</v>
      </c>
      <c r="C69" s="24"/>
      <c r="D69" s="24"/>
      <c r="E69" s="25" t="s">
        <v>189</v>
      </c>
      <c r="F69" s="25"/>
      <c r="G69" s="25"/>
      <c r="H69" s="25"/>
      <c r="I69" s="25"/>
    </row>
    <row r="70" spans="2:9" ht="18" customHeight="1" x14ac:dyDescent="0.35">
      <c r="B70" s="24" t="s">
        <v>182</v>
      </c>
      <c r="C70" s="24"/>
      <c r="D70" s="24"/>
      <c r="E70" s="25" t="s">
        <v>190</v>
      </c>
      <c r="F70" s="25"/>
      <c r="G70" s="25"/>
      <c r="H70" s="25"/>
      <c r="I70" s="25"/>
    </row>
    <row r="71" spans="2:9" ht="18" customHeight="1" x14ac:dyDescent="0.35">
      <c r="B71" s="24" t="s">
        <v>184</v>
      </c>
      <c r="C71" s="24"/>
      <c r="D71" s="24"/>
      <c r="E71" s="25" t="s">
        <v>191</v>
      </c>
      <c r="F71" s="25"/>
      <c r="G71" s="25"/>
      <c r="H71" s="25"/>
      <c r="I71" s="25"/>
    </row>
    <row r="73" spans="2:9" ht="18" customHeight="1" x14ac:dyDescent="0.35">
      <c r="B73" s="1" t="s">
        <v>192</v>
      </c>
      <c r="C73" s="1"/>
      <c r="D73" s="1"/>
      <c r="E73" s="1"/>
      <c r="F73" s="1"/>
      <c r="G73" s="1"/>
      <c r="H73" s="1"/>
      <c r="I73" s="1"/>
    </row>
    <row r="74" spans="2:9" ht="18" customHeight="1" x14ac:dyDescent="0.35">
      <c r="B74" s="24" t="s">
        <v>176</v>
      </c>
      <c r="C74" s="24"/>
      <c r="D74" s="24"/>
      <c r="E74" s="3" t="s">
        <v>193</v>
      </c>
      <c r="F74" s="3"/>
      <c r="G74" s="3"/>
      <c r="H74" s="3"/>
      <c r="I74" s="3"/>
    </row>
    <row r="75" spans="2:9" ht="18" customHeight="1" x14ac:dyDescent="0.35">
      <c r="B75" s="24" t="s">
        <v>178</v>
      </c>
      <c r="C75" s="24"/>
      <c r="D75" s="24"/>
      <c r="E75" s="3" t="s">
        <v>194</v>
      </c>
      <c r="F75" s="3"/>
      <c r="G75" s="3"/>
      <c r="H75" s="3"/>
      <c r="I75" s="3"/>
    </row>
    <row r="76" spans="2:9" ht="18" customHeight="1" x14ac:dyDescent="0.35">
      <c r="B76" s="24" t="s">
        <v>180</v>
      </c>
      <c r="C76" s="24"/>
      <c r="D76" s="24"/>
      <c r="E76" s="3" t="s">
        <v>195</v>
      </c>
      <c r="F76" s="3"/>
      <c r="G76" s="3"/>
      <c r="H76" s="3"/>
      <c r="I76" s="3"/>
    </row>
    <row r="77" spans="2:9" ht="18" customHeight="1" x14ac:dyDescent="0.35">
      <c r="B77" s="24" t="s">
        <v>182</v>
      </c>
      <c r="C77" s="24"/>
      <c r="D77" s="24"/>
      <c r="E77" s="3" t="s">
        <v>196</v>
      </c>
      <c r="F77" s="3"/>
      <c r="G77" s="3"/>
      <c r="H77" s="3"/>
      <c r="I77" s="3"/>
    </row>
    <row r="78" spans="2:9" ht="18" customHeight="1" x14ac:dyDescent="0.35">
      <c r="B78" s="24" t="s">
        <v>184</v>
      </c>
      <c r="C78" s="24"/>
      <c r="D78" s="24"/>
      <c r="E78" s="3" t="s">
        <v>197</v>
      </c>
      <c r="F78" s="3"/>
      <c r="G78" s="3"/>
      <c r="H78" s="3"/>
      <c r="I78" s="3"/>
    </row>
    <row r="80" spans="2:9" ht="18" customHeight="1" x14ac:dyDescent="0.35">
      <c r="B80" s="1" t="s">
        <v>198</v>
      </c>
      <c r="C80" s="1"/>
      <c r="D80" s="1"/>
      <c r="E80" s="1"/>
      <c r="F80" s="1"/>
      <c r="G80" s="1"/>
      <c r="H80" s="1"/>
      <c r="I80" s="1"/>
    </row>
    <row r="81" spans="2:9" ht="18" customHeight="1" x14ac:dyDescent="0.35">
      <c r="B81" s="24" t="s">
        <v>176</v>
      </c>
      <c r="C81" s="24"/>
      <c r="D81" s="24"/>
      <c r="E81" s="3" t="s">
        <v>199</v>
      </c>
      <c r="F81" s="3"/>
      <c r="G81" s="3"/>
      <c r="H81" s="3"/>
      <c r="I81" s="3"/>
    </row>
    <row r="82" spans="2:9" ht="18" customHeight="1" x14ac:dyDescent="0.35">
      <c r="B82" s="24" t="s">
        <v>178</v>
      </c>
      <c r="C82" s="24"/>
      <c r="D82" s="24"/>
      <c r="E82" s="3" t="s">
        <v>200</v>
      </c>
      <c r="F82" s="3"/>
      <c r="G82" s="3"/>
      <c r="H82" s="3"/>
      <c r="I82" s="3"/>
    </row>
    <row r="83" spans="2:9" ht="18" customHeight="1" x14ac:dyDescent="0.35">
      <c r="B83" s="24" t="s">
        <v>180</v>
      </c>
      <c r="C83" s="24"/>
      <c r="D83" s="24"/>
      <c r="E83" s="3" t="s">
        <v>201</v>
      </c>
      <c r="F83" s="3"/>
      <c r="G83" s="3"/>
      <c r="H83" s="3"/>
      <c r="I83" s="3"/>
    </row>
    <row r="84" spans="2:9" ht="18" customHeight="1" x14ac:dyDescent="0.35">
      <c r="B84" s="24" t="s">
        <v>182</v>
      </c>
      <c r="C84" s="24"/>
      <c r="D84" s="24"/>
      <c r="E84" s="3" t="s">
        <v>202</v>
      </c>
      <c r="F84" s="3"/>
      <c r="G84" s="3"/>
      <c r="H84" s="3"/>
      <c r="I84" s="3"/>
    </row>
    <row r="85" spans="2:9" ht="18" customHeight="1" x14ac:dyDescent="0.35">
      <c r="B85" s="24" t="s">
        <v>184</v>
      </c>
      <c r="C85" s="24"/>
      <c r="D85" s="24"/>
      <c r="E85" s="3" t="s">
        <v>203</v>
      </c>
      <c r="F85" s="3"/>
      <c r="G85" s="3"/>
      <c r="H85" s="3"/>
      <c r="I85" s="3"/>
    </row>
    <row r="87" spans="2:9" ht="18" customHeight="1" x14ac:dyDescent="0.35">
      <c r="B87" s="1" t="s">
        <v>204</v>
      </c>
      <c r="C87" s="1"/>
      <c r="D87" s="1"/>
      <c r="E87" s="1"/>
      <c r="F87" s="1"/>
      <c r="G87" s="1"/>
      <c r="H87" s="1"/>
      <c r="I87" s="1"/>
    </row>
    <row r="88" spans="2:9" ht="18" customHeight="1" x14ac:dyDescent="0.35">
      <c r="B88" s="24" t="s">
        <v>176</v>
      </c>
      <c r="C88" s="24"/>
      <c r="D88" s="24"/>
      <c r="E88" s="3" t="s">
        <v>205</v>
      </c>
      <c r="F88" s="3"/>
      <c r="G88" s="3"/>
      <c r="H88" s="3"/>
      <c r="I88" s="3"/>
    </row>
    <row r="89" spans="2:9" ht="18" customHeight="1" x14ac:dyDescent="0.35">
      <c r="B89" s="24" t="s">
        <v>178</v>
      </c>
      <c r="C89" s="24"/>
      <c r="D89" s="24"/>
      <c r="E89" s="3" t="s">
        <v>206</v>
      </c>
      <c r="F89" s="3"/>
      <c r="G89" s="3"/>
      <c r="H89" s="3"/>
      <c r="I89" s="3"/>
    </row>
    <row r="90" spans="2:9" ht="18" customHeight="1" x14ac:dyDescent="0.35">
      <c r="B90" s="24" t="s">
        <v>180</v>
      </c>
      <c r="C90" s="24"/>
      <c r="D90" s="24"/>
      <c r="E90" s="3" t="s">
        <v>207</v>
      </c>
      <c r="F90" s="3"/>
      <c r="G90" s="3"/>
      <c r="H90" s="3"/>
      <c r="I90" s="3"/>
    </row>
    <row r="91" spans="2:9" ht="18" customHeight="1" x14ac:dyDescent="0.35">
      <c r="B91" s="24" t="s">
        <v>182</v>
      </c>
      <c r="C91" s="24"/>
      <c r="D91" s="24"/>
      <c r="E91" s="3" t="s">
        <v>208</v>
      </c>
      <c r="F91" s="3"/>
      <c r="G91" s="3"/>
      <c r="H91" s="3"/>
      <c r="I91" s="3"/>
    </row>
    <row r="92" spans="2:9" ht="18" customHeight="1" x14ac:dyDescent="0.35">
      <c r="B92" s="24" t="s">
        <v>184</v>
      </c>
      <c r="C92" s="24"/>
      <c r="D92" s="24"/>
      <c r="E92" s="3" t="s">
        <v>209</v>
      </c>
      <c r="F92" s="3"/>
      <c r="G92" s="3"/>
      <c r="H92" s="3"/>
      <c r="I92" s="3"/>
    </row>
    <row r="94" spans="2:9" ht="15.75" customHeight="1" x14ac:dyDescent="0.35">
      <c r="B94" s="26" t="s">
        <v>210</v>
      </c>
      <c r="C94" s="26"/>
      <c r="D94" s="26"/>
      <c r="E94" s="26"/>
      <c r="F94" s="26"/>
      <c r="G94" s="26"/>
      <c r="H94" s="26"/>
      <c r="I94" s="26"/>
    </row>
  </sheetData>
  <mergeCells count="106">
    <mergeCell ref="B92:D92"/>
    <mergeCell ref="E92:I92"/>
    <mergeCell ref="B94:I94"/>
    <mergeCell ref="B87:I87"/>
    <mergeCell ref="B88:D88"/>
    <mergeCell ref="E88:I88"/>
    <mergeCell ref="B89:D89"/>
    <mergeCell ref="E89:I89"/>
    <mergeCell ref="B90:D90"/>
    <mergeCell ref="E90:I90"/>
    <mergeCell ref="B91:D91"/>
    <mergeCell ref="E91:I91"/>
    <mergeCell ref="B81:D81"/>
    <mergeCell ref="E81:I81"/>
    <mergeCell ref="B82:D82"/>
    <mergeCell ref="E82:I82"/>
    <mergeCell ref="B83:D83"/>
    <mergeCell ref="E83:I83"/>
    <mergeCell ref="B84:D84"/>
    <mergeCell ref="E84:I84"/>
    <mergeCell ref="B85:D85"/>
    <mergeCell ref="E85:I85"/>
    <mergeCell ref="B75:D75"/>
    <mergeCell ref="E75:I75"/>
    <mergeCell ref="B76:D76"/>
    <mergeCell ref="E76:I76"/>
    <mergeCell ref="B77:D77"/>
    <mergeCell ref="E77:I77"/>
    <mergeCell ref="B78:D78"/>
    <mergeCell ref="E78:I78"/>
    <mergeCell ref="B80:I80"/>
    <mergeCell ref="B69:D69"/>
    <mergeCell ref="E69:I69"/>
    <mergeCell ref="B70:D70"/>
    <mergeCell ref="E70:I70"/>
    <mergeCell ref="B71:D71"/>
    <mergeCell ref="E71:I71"/>
    <mergeCell ref="B73:I73"/>
    <mergeCell ref="B74:D74"/>
    <mergeCell ref="E74:I74"/>
    <mergeCell ref="B63:D63"/>
    <mergeCell ref="E63:I63"/>
    <mergeCell ref="B64:D64"/>
    <mergeCell ref="E64:I64"/>
    <mergeCell ref="B66:I66"/>
    <mergeCell ref="B67:D67"/>
    <mergeCell ref="E67:I67"/>
    <mergeCell ref="B68:D68"/>
    <mergeCell ref="E68:I68"/>
    <mergeCell ref="B57:I57"/>
    <mergeCell ref="B58:I58"/>
    <mergeCell ref="B59:I59"/>
    <mergeCell ref="B60:D60"/>
    <mergeCell ref="E60:I60"/>
    <mergeCell ref="B61:D61"/>
    <mergeCell ref="E61:I61"/>
    <mergeCell ref="B62:D62"/>
    <mergeCell ref="E62:I62"/>
    <mergeCell ref="B52:D52"/>
    <mergeCell ref="E52:I52"/>
    <mergeCell ref="B53:D53"/>
    <mergeCell ref="E53:I53"/>
    <mergeCell ref="B54:D54"/>
    <mergeCell ref="E54:I54"/>
    <mergeCell ref="B55:D55"/>
    <mergeCell ref="E55:I55"/>
    <mergeCell ref="E56:I56"/>
    <mergeCell ref="B47:D47"/>
    <mergeCell ref="E47:I47"/>
    <mergeCell ref="B48:D48"/>
    <mergeCell ref="E48:I48"/>
    <mergeCell ref="B49:D49"/>
    <mergeCell ref="E49:I49"/>
    <mergeCell ref="B50:D50"/>
    <mergeCell ref="E50:I50"/>
    <mergeCell ref="B51:D51"/>
    <mergeCell ref="E51:I51"/>
    <mergeCell ref="B42:D42"/>
    <mergeCell ref="E42:I42"/>
    <mergeCell ref="B43:D43"/>
    <mergeCell ref="E43:I43"/>
    <mergeCell ref="B44:D44"/>
    <mergeCell ref="E44:I44"/>
    <mergeCell ref="B45:D45"/>
    <mergeCell ref="E45:I45"/>
    <mergeCell ref="B46:D46"/>
    <mergeCell ref="E46:I46"/>
    <mergeCell ref="B24:I24"/>
    <mergeCell ref="B28:I28"/>
    <mergeCell ref="B32:I32"/>
    <mergeCell ref="B37:I37"/>
    <mergeCell ref="B38:I38"/>
    <mergeCell ref="E39:I39"/>
    <mergeCell ref="B40:D40"/>
    <mergeCell ref="E40:I40"/>
    <mergeCell ref="B41:D41"/>
    <mergeCell ref="E41:I41"/>
    <mergeCell ref="B2:I2"/>
    <mergeCell ref="B3:I3"/>
    <mergeCell ref="B5:I5"/>
    <mergeCell ref="B6:I6"/>
    <mergeCell ref="B17:I17"/>
    <mergeCell ref="B18:I18"/>
    <mergeCell ref="D19:F19"/>
    <mergeCell ref="G19:H19"/>
    <mergeCell ref="B20:I2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94"/>
  <sheetViews>
    <sheetView showGridLines="0" zoomScaleNormal="100" workbookViewId="0">
      <selection activeCell="E71" sqref="E71:I71"/>
    </sheetView>
  </sheetViews>
  <sheetFormatPr defaultColWidth="8.6328125" defaultRowHeight="14.5" x14ac:dyDescent="0.35"/>
  <cols>
    <col min="1" max="1" width="3" customWidth="1"/>
    <col min="2" max="2" width="12" customWidth="1"/>
    <col min="3" max="3" width="6" customWidth="1"/>
    <col min="4" max="4" width="12.7265625" customWidth="1"/>
    <col min="5" max="5" width="54.08984375" bestFit="1" customWidth="1"/>
    <col min="6" max="6" width="27.1796875" bestFit="1" customWidth="1"/>
    <col min="7" max="7" width="16.6328125" customWidth="1"/>
    <col min="8" max="8" width="44.90625" bestFit="1" customWidth="1"/>
    <col min="9" max="9" width="27.54296875" bestFit="1" customWidth="1"/>
  </cols>
  <sheetData>
    <row r="1" spans="2:9" ht="13.5" customHeight="1" x14ac:dyDescent="0.35"/>
    <row r="2" spans="2:9" ht="33.75" customHeight="1" x14ac:dyDescent="0.35">
      <c r="B2" s="14" t="s">
        <v>211</v>
      </c>
      <c r="C2" s="14"/>
      <c r="D2" s="14"/>
      <c r="E2" s="14"/>
      <c r="F2" s="14"/>
      <c r="G2" s="14"/>
      <c r="H2" s="14"/>
      <c r="I2" s="14"/>
    </row>
    <row r="3" spans="2:9" ht="15.75" customHeight="1" x14ac:dyDescent="0.35">
      <c r="B3" s="13" t="s">
        <v>72</v>
      </c>
      <c r="C3" s="13"/>
      <c r="D3" s="13"/>
      <c r="E3" s="13"/>
      <c r="F3" s="13"/>
      <c r="G3" s="13"/>
      <c r="H3" s="13"/>
      <c r="I3" s="13"/>
    </row>
    <row r="5" spans="2:9" ht="21.75" customHeight="1" x14ac:dyDescent="0.35">
      <c r="B5" s="12" t="s">
        <v>73</v>
      </c>
      <c r="C5" s="12"/>
      <c r="D5" s="12"/>
      <c r="E5" s="12"/>
      <c r="F5" s="12"/>
      <c r="G5" s="12"/>
      <c r="H5" s="12"/>
      <c r="I5" s="12"/>
    </row>
    <row r="6" spans="2:9" ht="13.5" customHeight="1" x14ac:dyDescent="0.35">
      <c r="B6" s="11" t="s">
        <v>74</v>
      </c>
      <c r="C6" s="11"/>
      <c r="D6" s="11"/>
      <c r="E6" s="11"/>
      <c r="F6" s="11"/>
      <c r="G6" s="11"/>
      <c r="H6" s="11"/>
      <c r="I6" s="11"/>
    </row>
    <row r="7" spans="2:9" ht="19.5" customHeight="1" x14ac:dyDescent="0.35">
      <c r="B7" s="17" t="s">
        <v>75</v>
      </c>
      <c r="C7" s="17" t="s">
        <v>76</v>
      </c>
      <c r="D7" s="17" t="s">
        <v>77</v>
      </c>
      <c r="E7" s="17" t="s">
        <v>78</v>
      </c>
      <c r="F7" s="17" t="s">
        <v>79</v>
      </c>
      <c r="G7" s="17" t="s">
        <v>80</v>
      </c>
      <c r="H7" s="17" t="s">
        <v>81</v>
      </c>
      <c r="I7" s="17" t="s">
        <v>82</v>
      </c>
    </row>
    <row r="8" spans="2:9" ht="24.75" customHeight="1" x14ac:dyDescent="0.35">
      <c r="B8" s="15" t="s">
        <v>212</v>
      </c>
      <c r="C8" s="15" t="s">
        <v>52</v>
      </c>
      <c r="D8" s="15" t="s">
        <v>84</v>
      </c>
      <c r="E8" s="15" t="s">
        <v>213</v>
      </c>
      <c r="F8" s="15" t="s">
        <v>214</v>
      </c>
      <c r="G8" s="15" t="s">
        <v>87</v>
      </c>
      <c r="H8" s="15" t="s">
        <v>215</v>
      </c>
      <c r="I8" s="15" t="s">
        <v>216</v>
      </c>
    </row>
    <row r="9" spans="2:9" ht="24.75" customHeight="1" x14ac:dyDescent="0.35">
      <c r="B9" s="15" t="s">
        <v>212</v>
      </c>
      <c r="C9" s="15" t="s">
        <v>54</v>
      </c>
      <c r="D9" s="15" t="s">
        <v>114</v>
      </c>
      <c r="E9" s="15" t="s">
        <v>217</v>
      </c>
      <c r="F9" s="15" t="s">
        <v>218</v>
      </c>
      <c r="G9" s="15" t="s">
        <v>104</v>
      </c>
      <c r="H9" s="15" t="s">
        <v>219</v>
      </c>
      <c r="I9" s="15" t="s">
        <v>220</v>
      </c>
    </row>
    <row r="10" spans="2:9" ht="24.75" customHeight="1" x14ac:dyDescent="0.35">
      <c r="B10" s="15" t="s">
        <v>221</v>
      </c>
      <c r="C10" s="15" t="s">
        <v>56</v>
      </c>
      <c r="D10" s="15" t="s">
        <v>114</v>
      </c>
      <c r="E10" s="15" t="s">
        <v>222</v>
      </c>
      <c r="F10" s="15" t="s">
        <v>223</v>
      </c>
      <c r="G10" s="15" t="s">
        <v>93</v>
      </c>
      <c r="H10" s="15" t="s">
        <v>224</v>
      </c>
      <c r="I10" s="15" t="s">
        <v>225</v>
      </c>
    </row>
    <row r="11" spans="2:9" ht="24.75" customHeight="1" x14ac:dyDescent="0.35">
      <c r="B11" s="15" t="s">
        <v>221</v>
      </c>
      <c r="C11" s="15" t="s">
        <v>57</v>
      </c>
      <c r="D11" s="15" t="s">
        <v>84</v>
      </c>
      <c r="E11" s="15" t="s">
        <v>226</v>
      </c>
      <c r="F11" s="15" t="s">
        <v>227</v>
      </c>
      <c r="G11" s="15" t="s">
        <v>104</v>
      </c>
      <c r="H11" s="15" t="s">
        <v>228</v>
      </c>
      <c r="I11" s="15" t="s">
        <v>229</v>
      </c>
    </row>
    <row r="12" spans="2:9" ht="24.75" customHeight="1" x14ac:dyDescent="0.35">
      <c r="B12" s="15" t="s">
        <v>230</v>
      </c>
      <c r="C12" s="15" t="s">
        <v>58</v>
      </c>
      <c r="D12" s="15" t="s">
        <v>108</v>
      </c>
      <c r="E12" s="15" t="s">
        <v>231</v>
      </c>
      <c r="F12" s="15" t="s">
        <v>232</v>
      </c>
      <c r="G12" s="15" t="s">
        <v>87</v>
      </c>
      <c r="H12" s="15" t="s">
        <v>233</v>
      </c>
      <c r="I12" s="15" t="s">
        <v>234</v>
      </c>
    </row>
    <row r="13" spans="2:9" ht="18" customHeight="1" x14ac:dyDescent="0.35">
      <c r="B13" s="15" t="s">
        <v>235</v>
      </c>
      <c r="C13" s="15" t="s">
        <v>54</v>
      </c>
      <c r="D13" s="15" t="s">
        <v>84</v>
      </c>
      <c r="E13" s="15" t="s">
        <v>236</v>
      </c>
      <c r="F13" s="15" t="s">
        <v>237</v>
      </c>
      <c r="G13" s="15" t="s">
        <v>87</v>
      </c>
      <c r="H13" s="15" t="s">
        <v>238</v>
      </c>
      <c r="I13" s="15" t="s">
        <v>239</v>
      </c>
    </row>
    <row r="14" spans="2:9" ht="18" customHeight="1" x14ac:dyDescent="0.35">
      <c r="B14" s="15"/>
      <c r="C14" s="15"/>
      <c r="D14" s="15"/>
      <c r="E14" s="15"/>
      <c r="F14" s="15"/>
      <c r="G14" s="15"/>
      <c r="H14" s="15"/>
      <c r="I14" s="15"/>
    </row>
    <row r="15" spans="2:9" ht="18" customHeight="1" x14ac:dyDescent="0.35">
      <c r="B15" s="15"/>
      <c r="C15" s="15"/>
      <c r="D15" s="15"/>
      <c r="E15" s="15"/>
      <c r="F15" s="15"/>
      <c r="G15" s="15"/>
      <c r="H15" s="15"/>
      <c r="I15" s="15"/>
    </row>
    <row r="17" spans="2:9" ht="21.75" customHeight="1" x14ac:dyDescent="0.35">
      <c r="B17" s="10" t="s">
        <v>119</v>
      </c>
      <c r="C17" s="10"/>
      <c r="D17" s="10"/>
      <c r="E17" s="10"/>
      <c r="F17" s="10"/>
      <c r="G17" s="10"/>
      <c r="H17" s="10"/>
      <c r="I17" s="10"/>
    </row>
    <row r="18" spans="2:9" ht="13.5" customHeight="1" x14ac:dyDescent="0.35">
      <c r="B18" s="11" t="s">
        <v>31</v>
      </c>
      <c r="C18" s="11"/>
      <c r="D18" s="11"/>
      <c r="E18" s="11"/>
      <c r="F18" s="11"/>
      <c r="G18" s="11"/>
      <c r="H18" s="11"/>
      <c r="I18" s="11"/>
    </row>
    <row r="19" spans="2:9" ht="19.5" customHeight="1" x14ac:dyDescent="0.35">
      <c r="B19" s="21" t="s">
        <v>120</v>
      </c>
      <c r="C19" s="21" t="s">
        <v>76</v>
      </c>
      <c r="D19" s="9" t="s">
        <v>121</v>
      </c>
      <c r="E19" s="9"/>
      <c r="F19" s="9"/>
      <c r="G19" s="9" t="s">
        <v>122</v>
      </c>
      <c r="H19" s="9"/>
      <c r="I19" s="21" t="s">
        <v>51</v>
      </c>
    </row>
    <row r="20" spans="2:9" ht="15.75" customHeight="1" x14ac:dyDescent="0.35">
      <c r="B20" s="8" t="s">
        <v>123</v>
      </c>
      <c r="C20" s="8"/>
      <c r="D20" s="8"/>
      <c r="E20" s="8"/>
      <c r="F20" s="8"/>
      <c r="G20" s="8"/>
      <c r="H20" s="8"/>
      <c r="I20" s="8"/>
    </row>
    <row r="21" spans="2:9" ht="18" customHeight="1" x14ac:dyDescent="0.35">
      <c r="B21" s="15"/>
      <c r="C21" s="15" t="s">
        <v>54</v>
      </c>
      <c r="D21" s="15" t="s">
        <v>240</v>
      </c>
      <c r="E21" s="15"/>
      <c r="F21" s="15"/>
      <c r="G21" s="15" t="s">
        <v>237</v>
      </c>
      <c r="H21" s="15"/>
      <c r="I21" s="15"/>
    </row>
    <row r="22" spans="2:9" ht="18" customHeight="1" x14ac:dyDescent="0.35">
      <c r="B22" s="15"/>
      <c r="C22" s="15" t="s">
        <v>56</v>
      </c>
      <c r="D22" s="15" t="s">
        <v>241</v>
      </c>
      <c r="E22" s="15"/>
      <c r="F22" s="15"/>
      <c r="G22" s="15" t="s">
        <v>242</v>
      </c>
      <c r="H22" s="15"/>
      <c r="I22" s="15"/>
    </row>
    <row r="23" spans="2:9" ht="18" customHeight="1" x14ac:dyDescent="0.35">
      <c r="B23" s="15"/>
      <c r="C23" s="15" t="s">
        <v>52</v>
      </c>
      <c r="D23" s="15" t="s">
        <v>243</v>
      </c>
      <c r="E23" s="15"/>
      <c r="F23" s="15"/>
      <c r="G23" s="15" t="s">
        <v>244</v>
      </c>
      <c r="H23" s="15"/>
      <c r="I23" s="15"/>
    </row>
    <row r="24" spans="2:9" ht="15.75" customHeight="1" x14ac:dyDescent="0.35">
      <c r="B24" s="8" t="s">
        <v>132</v>
      </c>
      <c r="C24" s="8"/>
      <c r="D24" s="8"/>
      <c r="E24" s="8"/>
      <c r="F24" s="8"/>
      <c r="G24" s="8"/>
      <c r="H24" s="8"/>
      <c r="I24" s="8"/>
    </row>
    <row r="25" spans="2:9" ht="18" customHeight="1" x14ac:dyDescent="0.35">
      <c r="B25" s="15"/>
      <c r="C25" s="15" t="s">
        <v>57</v>
      </c>
      <c r="D25" s="15" t="s">
        <v>245</v>
      </c>
      <c r="E25" s="15"/>
      <c r="F25" s="15"/>
      <c r="G25" s="15" t="s">
        <v>246</v>
      </c>
      <c r="H25" s="15"/>
      <c r="I25" s="15"/>
    </row>
    <row r="26" spans="2:9" ht="18" customHeight="1" x14ac:dyDescent="0.35">
      <c r="B26" s="15"/>
      <c r="C26" s="15" t="s">
        <v>58</v>
      </c>
      <c r="D26" s="15" t="s">
        <v>247</v>
      </c>
      <c r="E26" s="15"/>
      <c r="F26" s="15"/>
      <c r="G26" s="15" t="s">
        <v>248</v>
      </c>
      <c r="H26" s="15"/>
      <c r="I26" s="15"/>
    </row>
    <row r="27" spans="2:9" ht="18" customHeight="1" x14ac:dyDescent="0.35">
      <c r="B27" s="15"/>
      <c r="C27" s="15" t="s">
        <v>57</v>
      </c>
      <c r="D27" s="15" t="s">
        <v>249</v>
      </c>
      <c r="E27" s="15"/>
      <c r="F27" s="15"/>
      <c r="G27" s="15" t="s">
        <v>250</v>
      </c>
      <c r="H27" s="15"/>
      <c r="I27" s="15"/>
    </row>
    <row r="28" spans="2:9" ht="15.75" customHeight="1" x14ac:dyDescent="0.35">
      <c r="B28" s="8" t="s">
        <v>138</v>
      </c>
      <c r="C28" s="8"/>
      <c r="D28" s="8"/>
      <c r="E28" s="8"/>
      <c r="F28" s="8"/>
      <c r="G28" s="8"/>
      <c r="H28" s="8"/>
      <c r="I28" s="8"/>
    </row>
    <row r="29" spans="2:9" ht="18" customHeight="1" x14ac:dyDescent="0.35">
      <c r="B29" s="15"/>
      <c r="C29" s="15" t="s">
        <v>56</v>
      </c>
      <c r="D29" s="15" t="s">
        <v>251</v>
      </c>
      <c r="E29" s="15"/>
      <c r="F29" s="15"/>
      <c r="G29" s="15" t="s">
        <v>252</v>
      </c>
      <c r="H29" s="15"/>
      <c r="I29" s="15" t="s">
        <v>253</v>
      </c>
    </row>
    <row r="30" spans="2:9" ht="18" customHeight="1" x14ac:dyDescent="0.35">
      <c r="B30" s="15"/>
      <c r="C30" s="15" t="s">
        <v>54</v>
      </c>
      <c r="D30" s="15" t="s">
        <v>254</v>
      </c>
      <c r="E30" s="15"/>
      <c r="F30" s="15"/>
      <c r="G30" s="15" t="s">
        <v>237</v>
      </c>
      <c r="H30" s="15"/>
      <c r="I30" s="15"/>
    </row>
    <row r="31" spans="2:9" ht="18" customHeight="1" x14ac:dyDescent="0.35">
      <c r="B31" s="15"/>
      <c r="C31" s="15"/>
      <c r="D31" s="15"/>
      <c r="E31" s="15"/>
      <c r="F31" s="15"/>
      <c r="G31" s="15"/>
      <c r="H31" s="15"/>
      <c r="I31" s="15"/>
    </row>
    <row r="32" spans="2:9" ht="15.75" customHeight="1" x14ac:dyDescent="0.35">
      <c r="B32" s="8" t="s">
        <v>143</v>
      </c>
      <c r="C32" s="8"/>
      <c r="D32" s="8"/>
      <c r="E32" s="8"/>
      <c r="F32" s="8"/>
      <c r="G32" s="8"/>
      <c r="H32" s="8"/>
      <c r="I32" s="8"/>
    </row>
    <row r="33" spans="2:9" ht="18" customHeight="1" x14ac:dyDescent="0.35">
      <c r="B33" s="15"/>
      <c r="C33" s="15"/>
      <c r="D33" s="15"/>
      <c r="E33" s="15"/>
      <c r="F33" s="15"/>
      <c r="G33" s="15"/>
      <c r="H33" s="15"/>
      <c r="I33" s="15"/>
    </row>
    <row r="34" spans="2:9" ht="18" customHeight="1" x14ac:dyDescent="0.35">
      <c r="B34" s="15"/>
      <c r="C34" s="15"/>
      <c r="D34" s="15"/>
      <c r="E34" s="15"/>
      <c r="F34" s="15"/>
      <c r="G34" s="15"/>
      <c r="H34" s="15"/>
      <c r="I34" s="15"/>
    </row>
    <row r="35" spans="2:9" ht="18" customHeight="1" x14ac:dyDescent="0.35">
      <c r="B35" s="15"/>
      <c r="C35" s="15"/>
      <c r="D35" s="15"/>
      <c r="E35" s="15"/>
      <c r="F35" s="15"/>
      <c r="G35" s="15"/>
      <c r="H35" s="15"/>
      <c r="I35" s="15"/>
    </row>
    <row r="37" spans="2:9" ht="21.75" customHeight="1" x14ac:dyDescent="0.35">
      <c r="B37" s="7" t="s">
        <v>144</v>
      </c>
      <c r="C37" s="7"/>
      <c r="D37" s="7"/>
      <c r="E37" s="7"/>
      <c r="F37" s="7"/>
      <c r="G37" s="7"/>
      <c r="H37" s="7"/>
      <c r="I37" s="7"/>
    </row>
    <row r="38" spans="2:9" ht="13.5" customHeight="1" x14ac:dyDescent="0.35">
      <c r="B38" s="11" t="s">
        <v>145</v>
      </c>
      <c r="C38" s="11"/>
      <c r="D38" s="11"/>
      <c r="E38" s="11"/>
      <c r="F38" s="11"/>
      <c r="G38" s="11"/>
      <c r="H38" s="11"/>
      <c r="I38" s="11"/>
    </row>
    <row r="39" spans="2:9" ht="19.5" customHeight="1" x14ac:dyDescent="0.35">
      <c r="B39" s="22" t="s">
        <v>146</v>
      </c>
      <c r="C39" s="22" t="s">
        <v>147</v>
      </c>
      <c r="D39" s="22" t="s">
        <v>148</v>
      </c>
      <c r="E39" s="6" t="s">
        <v>149</v>
      </c>
      <c r="F39" s="6"/>
      <c r="G39" s="6"/>
      <c r="H39" s="6"/>
      <c r="I39" s="6"/>
    </row>
    <row r="40" spans="2:9" ht="21.75" customHeight="1" x14ac:dyDescent="0.35">
      <c r="B40" s="5" t="s">
        <v>255</v>
      </c>
      <c r="C40" s="5"/>
      <c r="D40" s="5"/>
      <c r="E40" s="4" t="s">
        <v>256</v>
      </c>
      <c r="F40" s="4"/>
      <c r="G40" s="4"/>
      <c r="H40" s="4"/>
      <c r="I40" s="4"/>
    </row>
    <row r="41" spans="2:9" ht="21.75" customHeight="1" x14ac:dyDescent="0.35">
      <c r="B41" s="3" t="s">
        <v>152</v>
      </c>
      <c r="C41" s="3"/>
      <c r="D41" s="3"/>
      <c r="E41" s="4" t="s">
        <v>257</v>
      </c>
      <c r="F41" s="4"/>
      <c r="G41" s="4"/>
      <c r="H41" s="4"/>
      <c r="I41" s="4"/>
    </row>
    <row r="42" spans="2:9" ht="21.75" customHeight="1" x14ac:dyDescent="0.35">
      <c r="B42" s="3" t="s">
        <v>154</v>
      </c>
      <c r="C42" s="3"/>
      <c r="D42" s="3"/>
      <c r="E42" s="4" t="s">
        <v>258</v>
      </c>
      <c r="F42" s="4"/>
      <c r="G42" s="4"/>
      <c r="H42" s="4"/>
      <c r="I42" s="4"/>
    </row>
    <row r="43" spans="2:9" ht="21.75" customHeight="1" x14ac:dyDescent="0.35">
      <c r="B43" s="3" t="s">
        <v>156</v>
      </c>
      <c r="C43" s="3"/>
      <c r="D43" s="3"/>
      <c r="E43" s="4" t="s">
        <v>259</v>
      </c>
      <c r="F43" s="4"/>
      <c r="G43" s="4"/>
      <c r="H43" s="4"/>
      <c r="I43" s="4"/>
    </row>
    <row r="44" spans="2:9" ht="21.75" customHeight="1" x14ac:dyDescent="0.35">
      <c r="B44" s="5" t="s">
        <v>158</v>
      </c>
      <c r="C44" s="5"/>
      <c r="D44" s="5"/>
      <c r="E44" s="4" t="s">
        <v>260</v>
      </c>
      <c r="F44" s="4"/>
      <c r="G44" s="4"/>
      <c r="H44" s="4"/>
      <c r="I44" s="4"/>
    </row>
    <row r="45" spans="2:9" ht="21.75" customHeight="1" x14ac:dyDescent="0.35">
      <c r="B45" s="3" t="s">
        <v>152</v>
      </c>
      <c r="C45" s="3"/>
      <c r="D45" s="3"/>
      <c r="E45" s="4" t="s">
        <v>261</v>
      </c>
      <c r="F45" s="4"/>
      <c r="G45" s="4"/>
      <c r="H45" s="4"/>
      <c r="I45" s="4"/>
    </row>
    <row r="46" spans="2:9" ht="21.75" customHeight="1" x14ac:dyDescent="0.35">
      <c r="B46" s="3" t="s">
        <v>154</v>
      </c>
      <c r="C46" s="3"/>
      <c r="D46" s="3"/>
      <c r="E46" s="4" t="s">
        <v>262</v>
      </c>
      <c r="F46" s="4"/>
      <c r="G46" s="4"/>
      <c r="H46" s="4"/>
      <c r="I46" s="4"/>
    </row>
    <row r="47" spans="2:9" ht="21.75" customHeight="1" x14ac:dyDescent="0.35">
      <c r="B47" s="3" t="s">
        <v>156</v>
      </c>
      <c r="C47" s="3"/>
      <c r="D47" s="3"/>
      <c r="E47" s="4" t="s">
        <v>263</v>
      </c>
      <c r="F47" s="4"/>
      <c r="G47" s="4"/>
      <c r="H47" s="4"/>
      <c r="I47" s="4"/>
    </row>
    <row r="48" spans="2:9" ht="21.75" customHeight="1" x14ac:dyDescent="0.35">
      <c r="B48" s="5" t="s">
        <v>163</v>
      </c>
      <c r="C48" s="5"/>
      <c r="D48" s="5"/>
      <c r="E48" s="4" t="s">
        <v>264</v>
      </c>
      <c r="F48" s="4"/>
      <c r="G48" s="4"/>
      <c r="H48" s="4"/>
      <c r="I48" s="4"/>
    </row>
    <row r="49" spans="2:9" ht="21.75" customHeight="1" x14ac:dyDescent="0.35">
      <c r="B49" s="3" t="s">
        <v>152</v>
      </c>
      <c r="C49" s="3"/>
      <c r="D49" s="3"/>
      <c r="E49" s="4" t="s">
        <v>265</v>
      </c>
      <c r="F49" s="4"/>
      <c r="G49" s="4"/>
      <c r="H49" s="4"/>
      <c r="I49" s="4"/>
    </row>
    <row r="50" spans="2:9" ht="21.75" customHeight="1" x14ac:dyDescent="0.35">
      <c r="B50" s="3" t="s">
        <v>154</v>
      </c>
      <c r="C50" s="3"/>
      <c r="D50" s="3"/>
      <c r="E50" s="4" t="s">
        <v>266</v>
      </c>
      <c r="F50" s="4"/>
      <c r="G50" s="4"/>
      <c r="H50" s="4"/>
      <c r="I50" s="4"/>
    </row>
    <row r="51" spans="2:9" ht="21.75" customHeight="1" x14ac:dyDescent="0.35">
      <c r="B51" s="3" t="s">
        <v>156</v>
      </c>
      <c r="C51" s="3"/>
      <c r="D51" s="3"/>
      <c r="E51" s="4" t="s">
        <v>267</v>
      </c>
      <c r="F51" s="4"/>
      <c r="G51" s="4"/>
      <c r="H51" s="4"/>
      <c r="I51" s="4"/>
    </row>
    <row r="52" spans="2:9" ht="21.75" customHeight="1" x14ac:dyDescent="0.35">
      <c r="B52" s="5" t="s">
        <v>168</v>
      </c>
      <c r="C52" s="5"/>
      <c r="D52" s="5"/>
      <c r="E52" s="4" t="s">
        <v>268</v>
      </c>
      <c r="F52" s="4"/>
      <c r="G52" s="4"/>
      <c r="H52" s="4"/>
      <c r="I52" s="4"/>
    </row>
    <row r="53" spans="2:9" ht="21.75" customHeight="1" x14ac:dyDescent="0.35">
      <c r="B53" s="3" t="s">
        <v>152</v>
      </c>
      <c r="C53" s="3"/>
      <c r="D53" s="3"/>
      <c r="E53" s="4" t="s">
        <v>269</v>
      </c>
      <c r="F53" s="4"/>
      <c r="G53" s="4"/>
      <c r="H53" s="4"/>
      <c r="I53" s="4"/>
    </row>
    <row r="54" spans="2:9" ht="21.75" customHeight="1" x14ac:dyDescent="0.35">
      <c r="B54" s="3" t="s">
        <v>154</v>
      </c>
      <c r="C54" s="3"/>
      <c r="D54" s="3"/>
      <c r="E54" s="4" t="s">
        <v>270</v>
      </c>
      <c r="F54" s="4"/>
      <c r="G54" s="4"/>
      <c r="H54" s="4"/>
      <c r="I54" s="4"/>
    </row>
    <row r="55" spans="2:9" ht="21.75" customHeight="1" x14ac:dyDescent="0.35">
      <c r="B55" s="3" t="s">
        <v>156</v>
      </c>
      <c r="C55" s="3"/>
      <c r="D55" s="3"/>
      <c r="E55" s="4" t="s">
        <v>271</v>
      </c>
      <c r="F55" s="4"/>
      <c r="G55" s="4"/>
      <c r="H55" s="4"/>
      <c r="I55" s="4"/>
    </row>
    <row r="56" spans="2:9" x14ac:dyDescent="0.35">
      <c r="E56" s="4"/>
      <c r="F56" s="4"/>
      <c r="G56" s="4"/>
      <c r="H56" s="4"/>
      <c r="I56" s="4"/>
    </row>
    <row r="57" spans="2:9" ht="21.75" customHeight="1" x14ac:dyDescent="0.35">
      <c r="B57" s="2" t="s">
        <v>173</v>
      </c>
      <c r="C57" s="2"/>
      <c r="D57" s="2"/>
      <c r="E57" s="2"/>
      <c r="F57" s="2"/>
      <c r="G57" s="2"/>
      <c r="H57" s="2"/>
      <c r="I57" s="2"/>
    </row>
    <row r="58" spans="2:9" ht="13.5" customHeight="1" x14ac:dyDescent="0.35">
      <c r="B58" s="11" t="s">
        <v>174</v>
      </c>
      <c r="C58" s="11"/>
      <c r="D58" s="11"/>
      <c r="E58" s="11"/>
      <c r="F58" s="11"/>
      <c r="G58" s="11"/>
      <c r="H58" s="11"/>
      <c r="I58" s="11"/>
    </row>
    <row r="59" spans="2:9" ht="18" customHeight="1" x14ac:dyDescent="0.35">
      <c r="B59" s="1" t="s">
        <v>175</v>
      </c>
      <c r="C59" s="1"/>
      <c r="D59" s="1"/>
      <c r="E59" s="1"/>
      <c r="F59" s="1"/>
      <c r="G59" s="1"/>
      <c r="H59" s="1"/>
      <c r="I59" s="1"/>
    </row>
    <row r="60" spans="2:9" ht="18" customHeight="1" x14ac:dyDescent="0.35">
      <c r="B60" s="24" t="s">
        <v>176</v>
      </c>
      <c r="C60" s="24"/>
      <c r="D60" s="24"/>
      <c r="E60" s="25" t="s">
        <v>272</v>
      </c>
      <c r="F60" s="25"/>
      <c r="G60" s="25"/>
      <c r="H60" s="25"/>
      <c r="I60" s="25"/>
    </row>
    <row r="61" spans="2:9" ht="18" customHeight="1" x14ac:dyDescent="0.35">
      <c r="B61" s="24" t="s">
        <v>178</v>
      </c>
      <c r="C61" s="24"/>
      <c r="D61" s="24"/>
      <c r="E61" s="25" t="s">
        <v>273</v>
      </c>
      <c r="F61" s="25"/>
      <c r="G61" s="25"/>
      <c r="H61" s="25"/>
      <c r="I61" s="25"/>
    </row>
    <row r="62" spans="2:9" ht="18" customHeight="1" x14ac:dyDescent="0.35">
      <c r="B62" s="24" t="s">
        <v>180</v>
      </c>
      <c r="C62" s="24"/>
      <c r="D62" s="24"/>
      <c r="E62" s="25" t="s">
        <v>274</v>
      </c>
      <c r="F62" s="25"/>
      <c r="G62" s="25"/>
      <c r="H62" s="25"/>
      <c r="I62" s="25"/>
    </row>
    <row r="63" spans="2:9" ht="18" customHeight="1" x14ac:dyDescent="0.35">
      <c r="B63" s="24" t="s">
        <v>182</v>
      </c>
      <c r="C63" s="24"/>
      <c r="D63" s="24"/>
      <c r="E63" s="25" t="s">
        <v>275</v>
      </c>
      <c r="F63" s="25"/>
      <c r="G63" s="25"/>
      <c r="H63" s="25"/>
      <c r="I63" s="25"/>
    </row>
    <row r="64" spans="2:9" ht="18" customHeight="1" x14ac:dyDescent="0.35">
      <c r="B64" s="24" t="s">
        <v>184</v>
      </c>
      <c r="C64" s="24"/>
      <c r="D64" s="24"/>
      <c r="E64" s="25" t="s">
        <v>276</v>
      </c>
      <c r="F64" s="25"/>
      <c r="G64" s="25"/>
      <c r="H64" s="25"/>
      <c r="I64" s="25"/>
    </row>
    <row r="66" spans="2:9" ht="18" customHeight="1" x14ac:dyDescent="0.35">
      <c r="B66" s="1" t="s">
        <v>186</v>
      </c>
      <c r="C66" s="1"/>
      <c r="D66" s="1"/>
      <c r="E66" s="1"/>
      <c r="F66" s="1"/>
      <c r="G66" s="1"/>
      <c r="H66" s="1"/>
      <c r="I66" s="1"/>
    </row>
    <row r="67" spans="2:9" ht="18" customHeight="1" x14ac:dyDescent="0.35">
      <c r="B67" s="24" t="s">
        <v>176</v>
      </c>
      <c r="C67" s="24"/>
      <c r="D67" s="24"/>
      <c r="E67" s="25" t="s">
        <v>277</v>
      </c>
      <c r="F67" s="25"/>
      <c r="G67" s="25"/>
      <c r="H67" s="25"/>
      <c r="I67" s="25"/>
    </row>
    <row r="68" spans="2:9" ht="18" customHeight="1" x14ac:dyDescent="0.35">
      <c r="B68" s="24" t="s">
        <v>178</v>
      </c>
      <c r="C68" s="24"/>
      <c r="D68" s="24"/>
      <c r="E68" s="25" t="s">
        <v>278</v>
      </c>
      <c r="F68" s="25"/>
      <c r="G68" s="25"/>
      <c r="H68" s="25"/>
      <c r="I68" s="25"/>
    </row>
    <row r="69" spans="2:9" ht="18" customHeight="1" x14ac:dyDescent="0.35">
      <c r="B69" s="24" t="s">
        <v>180</v>
      </c>
      <c r="C69" s="24"/>
      <c r="D69" s="24"/>
      <c r="E69" s="25" t="s">
        <v>279</v>
      </c>
      <c r="F69" s="25"/>
      <c r="G69" s="25"/>
      <c r="H69" s="25"/>
      <c r="I69" s="25"/>
    </row>
    <row r="70" spans="2:9" ht="18" customHeight="1" x14ac:dyDescent="0.35">
      <c r="B70" s="24" t="s">
        <v>182</v>
      </c>
      <c r="C70" s="24"/>
      <c r="D70" s="24"/>
      <c r="E70" s="25" t="s">
        <v>280</v>
      </c>
      <c r="F70" s="25"/>
      <c r="G70" s="25"/>
      <c r="H70" s="25"/>
      <c r="I70" s="25"/>
    </row>
    <row r="71" spans="2:9" ht="18" customHeight="1" x14ac:dyDescent="0.35">
      <c r="B71" s="24" t="s">
        <v>184</v>
      </c>
      <c r="C71" s="24"/>
      <c r="D71" s="24"/>
      <c r="E71" s="25" t="s">
        <v>281</v>
      </c>
      <c r="F71" s="25"/>
      <c r="G71" s="25"/>
      <c r="H71" s="25"/>
      <c r="I71" s="25"/>
    </row>
    <row r="73" spans="2:9" ht="18" customHeight="1" x14ac:dyDescent="0.35">
      <c r="B73" s="1" t="s">
        <v>192</v>
      </c>
      <c r="C73" s="1"/>
      <c r="D73" s="1"/>
      <c r="E73" s="1"/>
      <c r="F73" s="1"/>
      <c r="G73" s="1"/>
      <c r="H73" s="1"/>
      <c r="I73" s="1"/>
    </row>
    <row r="74" spans="2:9" ht="18" customHeight="1" x14ac:dyDescent="0.35">
      <c r="B74" s="24" t="s">
        <v>176</v>
      </c>
      <c r="C74" s="24"/>
      <c r="D74" s="24"/>
      <c r="E74" s="3" t="s">
        <v>282</v>
      </c>
      <c r="F74" s="3"/>
      <c r="G74" s="3"/>
      <c r="H74" s="3"/>
      <c r="I74" s="3"/>
    </row>
    <row r="75" spans="2:9" ht="18" customHeight="1" x14ac:dyDescent="0.35">
      <c r="B75" s="24" t="s">
        <v>178</v>
      </c>
      <c r="C75" s="24"/>
      <c r="D75" s="24"/>
      <c r="E75" s="3" t="s">
        <v>283</v>
      </c>
      <c r="F75" s="3"/>
      <c r="G75" s="3"/>
      <c r="H75" s="3"/>
      <c r="I75" s="3"/>
    </row>
    <row r="76" spans="2:9" ht="18" customHeight="1" x14ac:dyDescent="0.35">
      <c r="B76" s="24" t="s">
        <v>180</v>
      </c>
      <c r="C76" s="24"/>
      <c r="D76" s="24"/>
      <c r="E76" s="3" t="s">
        <v>284</v>
      </c>
      <c r="F76" s="3"/>
      <c r="G76" s="3"/>
      <c r="H76" s="3"/>
      <c r="I76" s="3"/>
    </row>
    <row r="77" spans="2:9" ht="18" customHeight="1" x14ac:dyDescent="0.35">
      <c r="B77" s="24" t="s">
        <v>182</v>
      </c>
      <c r="C77" s="24"/>
      <c r="D77" s="24"/>
      <c r="E77" s="3" t="s">
        <v>285</v>
      </c>
      <c r="F77" s="3"/>
      <c r="G77" s="3"/>
      <c r="H77" s="3"/>
      <c r="I77" s="3"/>
    </row>
    <row r="78" spans="2:9" ht="18" customHeight="1" x14ac:dyDescent="0.35">
      <c r="B78" s="24" t="s">
        <v>184</v>
      </c>
      <c r="C78" s="24"/>
      <c r="D78" s="24"/>
      <c r="E78" s="3" t="s">
        <v>286</v>
      </c>
      <c r="F78" s="3"/>
      <c r="G78" s="3"/>
      <c r="H78" s="3"/>
      <c r="I78" s="3"/>
    </row>
    <row r="80" spans="2:9" ht="18" customHeight="1" x14ac:dyDescent="0.35">
      <c r="B80" s="1" t="s">
        <v>198</v>
      </c>
      <c r="C80" s="1"/>
      <c r="D80" s="1"/>
      <c r="E80" s="1"/>
      <c r="F80" s="1"/>
      <c r="G80" s="1"/>
      <c r="H80" s="1"/>
      <c r="I80" s="1"/>
    </row>
    <row r="81" spans="2:9" ht="18" customHeight="1" x14ac:dyDescent="0.35">
      <c r="B81" s="24" t="s">
        <v>176</v>
      </c>
      <c r="C81" s="24"/>
      <c r="D81" s="24"/>
      <c r="E81" s="3" t="s">
        <v>287</v>
      </c>
      <c r="F81" s="3"/>
      <c r="G81" s="3"/>
      <c r="H81" s="3"/>
      <c r="I81" s="3"/>
    </row>
    <row r="82" spans="2:9" ht="18" customHeight="1" x14ac:dyDescent="0.35">
      <c r="B82" s="24" t="s">
        <v>178</v>
      </c>
      <c r="C82" s="24"/>
      <c r="D82" s="24"/>
      <c r="E82" s="3" t="s">
        <v>288</v>
      </c>
      <c r="F82" s="3"/>
      <c r="G82" s="3"/>
      <c r="H82" s="3"/>
      <c r="I82" s="3"/>
    </row>
    <row r="83" spans="2:9" ht="18" customHeight="1" x14ac:dyDescent="0.35">
      <c r="B83" s="24" t="s">
        <v>180</v>
      </c>
      <c r="C83" s="24"/>
      <c r="D83" s="24"/>
      <c r="E83" s="3" t="s">
        <v>289</v>
      </c>
      <c r="F83" s="3"/>
      <c r="G83" s="3"/>
      <c r="H83" s="3"/>
      <c r="I83" s="3"/>
    </row>
    <row r="84" spans="2:9" ht="18" customHeight="1" x14ac:dyDescent="0.35">
      <c r="B84" s="24" t="s">
        <v>182</v>
      </c>
      <c r="C84" s="24"/>
      <c r="D84" s="24"/>
      <c r="E84" s="3" t="s">
        <v>290</v>
      </c>
      <c r="F84" s="3"/>
      <c r="G84" s="3"/>
      <c r="H84" s="3"/>
      <c r="I84" s="3"/>
    </row>
    <row r="85" spans="2:9" ht="18" customHeight="1" x14ac:dyDescent="0.35">
      <c r="B85" s="24" t="s">
        <v>184</v>
      </c>
      <c r="C85" s="24"/>
      <c r="D85" s="24"/>
      <c r="E85" s="3" t="s">
        <v>291</v>
      </c>
      <c r="F85" s="3"/>
      <c r="G85" s="3"/>
      <c r="H85" s="3"/>
      <c r="I85" s="3"/>
    </row>
    <row r="87" spans="2:9" ht="18" customHeight="1" x14ac:dyDescent="0.35">
      <c r="B87" s="1" t="s">
        <v>204</v>
      </c>
      <c r="C87" s="1"/>
      <c r="D87" s="1"/>
      <c r="E87" s="1"/>
      <c r="F87" s="1"/>
      <c r="G87" s="1"/>
      <c r="H87" s="1"/>
      <c r="I87" s="1"/>
    </row>
    <row r="88" spans="2:9" ht="18" customHeight="1" x14ac:dyDescent="0.35">
      <c r="B88" s="24" t="s">
        <v>176</v>
      </c>
      <c r="C88" s="24"/>
      <c r="D88" s="24"/>
      <c r="E88" s="3" t="s">
        <v>292</v>
      </c>
      <c r="F88" s="3"/>
      <c r="G88" s="3"/>
      <c r="H88" s="3"/>
      <c r="I88" s="3"/>
    </row>
    <row r="89" spans="2:9" ht="18" customHeight="1" x14ac:dyDescent="0.35">
      <c r="B89" s="24" t="s">
        <v>178</v>
      </c>
      <c r="C89" s="24"/>
      <c r="D89" s="24"/>
      <c r="E89" s="3" t="s">
        <v>293</v>
      </c>
      <c r="F89" s="3"/>
      <c r="G89" s="3"/>
      <c r="H89" s="3"/>
      <c r="I89" s="3"/>
    </row>
    <row r="90" spans="2:9" ht="18" customHeight="1" x14ac:dyDescent="0.35">
      <c r="B90" s="24" t="s">
        <v>180</v>
      </c>
      <c r="C90" s="24"/>
      <c r="D90" s="24"/>
      <c r="E90" s="3" t="s">
        <v>294</v>
      </c>
      <c r="F90" s="3"/>
      <c r="G90" s="3"/>
      <c r="H90" s="3"/>
      <c r="I90" s="3"/>
    </row>
    <row r="91" spans="2:9" ht="18" customHeight="1" x14ac:dyDescent="0.35">
      <c r="B91" s="24" t="s">
        <v>182</v>
      </c>
      <c r="C91" s="24"/>
      <c r="D91" s="24"/>
      <c r="E91" s="3" t="s">
        <v>295</v>
      </c>
      <c r="F91" s="3"/>
      <c r="G91" s="3"/>
      <c r="H91" s="3"/>
      <c r="I91" s="3"/>
    </row>
    <row r="92" spans="2:9" ht="18" customHeight="1" x14ac:dyDescent="0.35">
      <c r="B92" s="24" t="s">
        <v>184</v>
      </c>
      <c r="C92" s="24"/>
      <c r="D92" s="24"/>
      <c r="E92" s="3" t="s">
        <v>296</v>
      </c>
      <c r="F92" s="3"/>
      <c r="G92" s="3"/>
      <c r="H92" s="3"/>
      <c r="I92" s="3"/>
    </row>
    <row r="94" spans="2:9" ht="15.75" customHeight="1" x14ac:dyDescent="0.35">
      <c r="B94" s="26" t="s">
        <v>297</v>
      </c>
      <c r="C94" s="26"/>
      <c r="D94" s="26"/>
      <c r="E94" s="26"/>
      <c r="F94" s="26"/>
      <c r="G94" s="26"/>
      <c r="H94" s="26"/>
      <c r="I94" s="26"/>
    </row>
  </sheetData>
  <mergeCells count="106">
    <mergeCell ref="B92:D92"/>
    <mergeCell ref="E92:I92"/>
    <mergeCell ref="B94:I94"/>
    <mergeCell ref="B87:I87"/>
    <mergeCell ref="B88:D88"/>
    <mergeCell ref="E88:I88"/>
    <mergeCell ref="B89:D89"/>
    <mergeCell ref="E89:I89"/>
    <mergeCell ref="B90:D90"/>
    <mergeCell ref="E90:I90"/>
    <mergeCell ref="B91:D91"/>
    <mergeCell ref="E91:I91"/>
    <mergeCell ref="B81:D81"/>
    <mergeCell ref="E81:I81"/>
    <mergeCell ref="B82:D82"/>
    <mergeCell ref="E82:I82"/>
    <mergeCell ref="B83:D83"/>
    <mergeCell ref="E83:I83"/>
    <mergeCell ref="B84:D84"/>
    <mergeCell ref="E84:I84"/>
    <mergeCell ref="B85:D85"/>
    <mergeCell ref="E85:I85"/>
    <mergeCell ref="B75:D75"/>
    <mergeCell ref="E75:I75"/>
    <mergeCell ref="B76:D76"/>
    <mergeCell ref="E76:I76"/>
    <mergeCell ref="B77:D77"/>
    <mergeCell ref="E77:I77"/>
    <mergeCell ref="B78:D78"/>
    <mergeCell ref="E78:I78"/>
    <mergeCell ref="B80:I80"/>
    <mergeCell ref="B69:D69"/>
    <mergeCell ref="E69:I69"/>
    <mergeCell ref="B70:D70"/>
    <mergeCell ref="E70:I70"/>
    <mergeCell ref="B71:D71"/>
    <mergeCell ref="E71:I71"/>
    <mergeCell ref="B73:I73"/>
    <mergeCell ref="B74:D74"/>
    <mergeCell ref="E74:I74"/>
    <mergeCell ref="B63:D63"/>
    <mergeCell ref="E63:I63"/>
    <mergeCell ref="B64:D64"/>
    <mergeCell ref="E64:I64"/>
    <mergeCell ref="B66:I66"/>
    <mergeCell ref="B67:D67"/>
    <mergeCell ref="E67:I67"/>
    <mergeCell ref="B68:D68"/>
    <mergeCell ref="E68:I68"/>
    <mergeCell ref="B57:I57"/>
    <mergeCell ref="B58:I58"/>
    <mergeCell ref="B59:I59"/>
    <mergeCell ref="B60:D60"/>
    <mergeCell ref="E60:I60"/>
    <mergeCell ref="B61:D61"/>
    <mergeCell ref="E61:I61"/>
    <mergeCell ref="B62:D62"/>
    <mergeCell ref="E62:I62"/>
    <mergeCell ref="B52:D52"/>
    <mergeCell ref="E52:I52"/>
    <mergeCell ref="B53:D53"/>
    <mergeCell ref="E53:I53"/>
    <mergeCell ref="B54:D54"/>
    <mergeCell ref="E54:I54"/>
    <mergeCell ref="B55:D55"/>
    <mergeCell ref="E55:I55"/>
    <mergeCell ref="E56:I56"/>
    <mergeCell ref="B47:D47"/>
    <mergeCell ref="E47:I47"/>
    <mergeCell ref="B48:D48"/>
    <mergeCell ref="E48:I48"/>
    <mergeCell ref="B49:D49"/>
    <mergeCell ref="E49:I49"/>
    <mergeCell ref="B50:D50"/>
    <mergeCell ref="E50:I50"/>
    <mergeCell ref="B51:D51"/>
    <mergeCell ref="E51:I51"/>
    <mergeCell ref="B42:D42"/>
    <mergeCell ref="E42:I42"/>
    <mergeCell ref="B43:D43"/>
    <mergeCell ref="E43:I43"/>
    <mergeCell ref="B44:D44"/>
    <mergeCell ref="E44:I44"/>
    <mergeCell ref="B45:D45"/>
    <mergeCell ref="E45:I45"/>
    <mergeCell ref="B46:D46"/>
    <mergeCell ref="E46:I46"/>
    <mergeCell ref="B24:I24"/>
    <mergeCell ref="B28:I28"/>
    <mergeCell ref="B32:I32"/>
    <mergeCell ref="B37:I37"/>
    <mergeCell ref="B38:I38"/>
    <mergeCell ref="E39:I39"/>
    <mergeCell ref="B40:D40"/>
    <mergeCell ref="E40:I40"/>
    <mergeCell ref="B41:D41"/>
    <mergeCell ref="E41:I41"/>
    <mergeCell ref="B2:I2"/>
    <mergeCell ref="B3:I3"/>
    <mergeCell ref="B5:I5"/>
    <mergeCell ref="B6:I6"/>
    <mergeCell ref="B17:I17"/>
    <mergeCell ref="B18:I18"/>
    <mergeCell ref="D19:F19"/>
    <mergeCell ref="G19:H19"/>
    <mergeCell ref="B20:I20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94"/>
  <sheetViews>
    <sheetView showGridLines="0" topLeftCell="E1" zoomScaleNormal="100" workbookViewId="0">
      <selection activeCell="A71" sqref="A71"/>
    </sheetView>
  </sheetViews>
  <sheetFormatPr defaultColWidth="8.6328125" defaultRowHeight="14.5" x14ac:dyDescent="0.35"/>
  <cols>
    <col min="1" max="1" width="3" customWidth="1"/>
    <col min="2" max="2" width="12" customWidth="1"/>
    <col min="3" max="3" width="6" customWidth="1"/>
    <col min="4" max="4" width="12.7265625" customWidth="1"/>
    <col min="5" max="5" width="57.7265625" bestFit="1" customWidth="1"/>
    <col min="6" max="6" width="20" customWidth="1"/>
    <col min="7" max="7" width="19.7265625" customWidth="1"/>
    <col min="8" max="8" width="50.36328125" customWidth="1"/>
    <col min="9" max="9" width="33.7265625" bestFit="1" customWidth="1"/>
  </cols>
  <sheetData>
    <row r="1" spans="2:9" ht="13.5" customHeight="1" x14ac:dyDescent="0.35"/>
    <row r="2" spans="2:9" ht="33.75" customHeight="1" x14ac:dyDescent="0.35">
      <c r="B2" s="14" t="s">
        <v>298</v>
      </c>
      <c r="C2" s="14"/>
      <c r="D2" s="14"/>
      <c r="E2" s="14"/>
      <c r="F2" s="14"/>
      <c r="G2" s="14"/>
      <c r="H2" s="14"/>
      <c r="I2" s="14"/>
    </row>
    <row r="3" spans="2:9" ht="15.75" customHeight="1" x14ac:dyDescent="0.35">
      <c r="B3" s="13" t="s">
        <v>72</v>
      </c>
      <c r="C3" s="13"/>
      <c r="D3" s="13"/>
      <c r="E3" s="13"/>
      <c r="F3" s="13"/>
      <c r="G3" s="13"/>
      <c r="H3" s="13"/>
      <c r="I3" s="13"/>
    </row>
    <row r="5" spans="2:9" ht="21.75" customHeight="1" x14ac:dyDescent="0.35">
      <c r="B5" s="12" t="s">
        <v>73</v>
      </c>
      <c r="C5" s="12"/>
      <c r="D5" s="12"/>
      <c r="E5" s="12"/>
      <c r="F5" s="12"/>
      <c r="G5" s="12"/>
      <c r="H5" s="12"/>
      <c r="I5" s="12"/>
    </row>
    <row r="6" spans="2:9" ht="13.5" customHeight="1" x14ac:dyDescent="0.35">
      <c r="B6" s="11" t="s">
        <v>74</v>
      </c>
      <c r="C6" s="11"/>
      <c r="D6" s="11"/>
      <c r="E6" s="11"/>
      <c r="F6" s="11"/>
      <c r="G6" s="11"/>
      <c r="H6" s="11"/>
      <c r="I6" s="11"/>
    </row>
    <row r="7" spans="2:9" ht="19.5" customHeight="1" x14ac:dyDescent="0.35">
      <c r="B7" s="17" t="s">
        <v>75</v>
      </c>
      <c r="C7" s="17" t="s">
        <v>76</v>
      </c>
      <c r="D7" s="17" t="s">
        <v>77</v>
      </c>
      <c r="E7" s="17" t="s">
        <v>78</v>
      </c>
      <c r="F7" s="17" t="s">
        <v>79</v>
      </c>
      <c r="G7" s="17" t="s">
        <v>80</v>
      </c>
      <c r="H7" s="17" t="s">
        <v>81</v>
      </c>
      <c r="I7" s="17" t="s">
        <v>82</v>
      </c>
    </row>
    <row r="8" spans="2:9" ht="18" customHeight="1" x14ac:dyDescent="0.35">
      <c r="B8" s="15" t="s">
        <v>299</v>
      </c>
      <c r="C8" s="15" t="s">
        <v>52</v>
      </c>
      <c r="D8" s="15" t="s">
        <v>84</v>
      </c>
      <c r="E8" s="15" t="s">
        <v>300</v>
      </c>
      <c r="F8" s="15" t="s">
        <v>301</v>
      </c>
      <c r="G8" s="15" t="s">
        <v>87</v>
      </c>
      <c r="H8" s="15" t="s">
        <v>302</v>
      </c>
      <c r="I8" s="15" t="s">
        <v>216</v>
      </c>
    </row>
    <row r="9" spans="2:9" ht="18" customHeight="1" x14ac:dyDescent="0.35">
      <c r="B9" s="15" t="s">
        <v>299</v>
      </c>
      <c r="C9" s="15" t="s">
        <v>54</v>
      </c>
      <c r="D9" s="15" t="s">
        <v>114</v>
      </c>
      <c r="E9" s="15" t="s">
        <v>303</v>
      </c>
      <c r="F9" s="15" t="s">
        <v>304</v>
      </c>
      <c r="G9" s="15" t="s">
        <v>104</v>
      </c>
      <c r="H9" s="15" t="s">
        <v>305</v>
      </c>
      <c r="I9" s="15" t="s">
        <v>306</v>
      </c>
    </row>
    <row r="10" spans="2:9" ht="18" customHeight="1" x14ac:dyDescent="0.35">
      <c r="B10" s="15" t="s">
        <v>307</v>
      </c>
      <c r="C10" s="15" t="s">
        <v>56</v>
      </c>
      <c r="D10" s="15" t="s">
        <v>84</v>
      </c>
      <c r="E10" s="15" t="s">
        <v>308</v>
      </c>
      <c r="F10" s="15" t="s">
        <v>309</v>
      </c>
      <c r="G10" s="15" t="s">
        <v>93</v>
      </c>
      <c r="H10" s="15" t="s">
        <v>310</v>
      </c>
      <c r="I10" s="15" t="s">
        <v>311</v>
      </c>
    </row>
    <row r="11" spans="2:9" ht="18" customHeight="1" x14ac:dyDescent="0.35">
      <c r="B11" s="15" t="s">
        <v>312</v>
      </c>
      <c r="C11" s="15" t="s">
        <v>57</v>
      </c>
      <c r="D11" s="15" t="s">
        <v>108</v>
      </c>
      <c r="E11" s="15" t="s">
        <v>313</v>
      </c>
      <c r="F11" s="15" t="s">
        <v>304</v>
      </c>
      <c r="G11" s="15" t="s">
        <v>104</v>
      </c>
      <c r="H11" s="15" t="s">
        <v>314</v>
      </c>
      <c r="I11" s="15" t="s">
        <v>315</v>
      </c>
    </row>
    <row r="12" spans="2:9" ht="18" customHeight="1" x14ac:dyDescent="0.35">
      <c r="B12" s="15" t="s">
        <v>316</v>
      </c>
      <c r="C12" s="15" t="s">
        <v>58</v>
      </c>
      <c r="D12" s="15" t="s">
        <v>84</v>
      </c>
      <c r="E12" s="15" t="s">
        <v>317</v>
      </c>
      <c r="F12" s="15" t="s">
        <v>252</v>
      </c>
      <c r="G12" s="15" t="s">
        <v>87</v>
      </c>
      <c r="H12" s="15" t="s">
        <v>318</v>
      </c>
      <c r="I12" s="15" t="s">
        <v>319</v>
      </c>
    </row>
    <row r="13" spans="2:9" ht="18" customHeight="1" x14ac:dyDescent="0.35">
      <c r="B13" s="15" t="s">
        <v>320</v>
      </c>
      <c r="C13" s="15" t="s">
        <v>54</v>
      </c>
      <c r="D13" s="15" t="s">
        <v>114</v>
      </c>
      <c r="E13" s="15" t="s">
        <v>321</v>
      </c>
      <c r="F13" s="15" t="s">
        <v>322</v>
      </c>
      <c r="G13" s="15" t="s">
        <v>104</v>
      </c>
      <c r="H13" s="15" t="s">
        <v>323</v>
      </c>
      <c r="I13" s="15" t="s">
        <v>324</v>
      </c>
    </row>
    <row r="14" spans="2:9" ht="18" customHeight="1" x14ac:dyDescent="0.35">
      <c r="B14" s="15"/>
      <c r="C14" s="15"/>
      <c r="D14" s="15"/>
      <c r="E14" s="15"/>
      <c r="F14" s="15"/>
      <c r="G14" s="15"/>
      <c r="H14" s="15"/>
      <c r="I14" s="15"/>
    </row>
    <row r="15" spans="2:9" ht="18" customHeight="1" x14ac:dyDescent="0.35">
      <c r="B15" s="15"/>
      <c r="C15" s="15"/>
      <c r="D15" s="15"/>
      <c r="E15" s="15"/>
      <c r="F15" s="15"/>
      <c r="G15" s="15"/>
      <c r="H15" s="15"/>
      <c r="I15" s="15"/>
    </row>
    <row r="17" spans="2:9" ht="21.75" customHeight="1" x14ac:dyDescent="0.35">
      <c r="B17" s="10" t="s">
        <v>119</v>
      </c>
      <c r="C17" s="10"/>
      <c r="D17" s="10"/>
      <c r="E17" s="10"/>
      <c r="F17" s="10"/>
      <c r="G17" s="10"/>
      <c r="H17" s="10"/>
      <c r="I17" s="10"/>
    </row>
    <row r="18" spans="2:9" ht="13.5" customHeight="1" x14ac:dyDescent="0.35">
      <c r="B18" s="11" t="s">
        <v>31</v>
      </c>
      <c r="C18" s="11"/>
      <c r="D18" s="11"/>
      <c r="E18" s="11"/>
      <c r="F18" s="11"/>
      <c r="G18" s="11"/>
      <c r="H18" s="11"/>
      <c r="I18" s="11"/>
    </row>
    <row r="19" spans="2:9" ht="19.5" customHeight="1" x14ac:dyDescent="0.35">
      <c r="B19" s="21" t="s">
        <v>120</v>
      </c>
      <c r="C19" s="21" t="s">
        <v>76</v>
      </c>
      <c r="D19" s="9" t="s">
        <v>121</v>
      </c>
      <c r="E19" s="9"/>
      <c r="F19" s="9"/>
      <c r="G19" s="9" t="s">
        <v>122</v>
      </c>
      <c r="H19" s="9"/>
      <c r="I19" s="21" t="s">
        <v>51</v>
      </c>
    </row>
    <row r="20" spans="2:9" ht="15.75" customHeight="1" x14ac:dyDescent="0.35">
      <c r="B20" s="8" t="s">
        <v>123</v>
      </c>
      <c r="C20" s="8"/>
      <c r="D20" s="8"/>
      <c r="E20" s="8"/>
      <c r="F20" s="8"/>
      <c r="G20" s="8"/>
      <c r="H20" s="8"/>
      <c r="I20" s="8"/>
    </row>
    <row r="21" spans="2:9" ht="18" customHeight="1" x14ac:dyDescent="0.35">
      <c r="B21" s="15"/>
      <c r="C21" s="15" t="s">
        <v>56</v>
      </c>
      <c r="D21" s="15" t="s">
        <v>325</v>
      </c>
      <c r="E21" s="15"/>
      <c r="F21" s="15"/>
      <c r="G21" s="15" t="s">
        <v>309</v>
      </c>
      <c r="H21" s="15"/>
      <c r="I21" s="15" t="s">
        <v>326</v>
      </c>
    </row>
    <row r="22" spans="2:9" ht="18" customHeight="1" x14ac:dyDescent="0.35">
      <c r="B22" s="15"/>
      <c r="C22" s="15" t="s">
        <v>54</v>
      </c>
      <c r="D22" s="15" t="s">
        <v>327</v>
      </c>
      <c r="E22" s="15"/>
      <c r="F22" s="15"/>
      <c r="G22" s="15" t="s">
        <v>322</v>
      </c>
      <c r="H22" s="15"/>
      <c r="I22" s="15"/>
    </row>
    <row r="23" spans="2:9" ht="18" customHeight="1" x14ac:dyDescent="0.35">
      <c r="B23" s="15"/>
      <c r="C23" s="15" t="s">
        <v>57</v>
      </c>
      <c r="D23" s="15" t="s">
        <v>328</v>
      </c>
      <c r="E23" s="15"/>
      <c r="F23" s="15"/>
      <c r="G23" s="15" t="s">
        <v>329</v>
      </c>
      <c r="H23" s="15"/>
      <c r="I23" s="15"/>
    </row>
    <row r="24" spans="2:9" ht="15.75" customHeight="1" x14ac:dyDescent="0.35">
      <c r="B24" s="8" t="s">
        <v>132</v>
      </c>
      <c r="C24" s="8"/>
      <c r="D24" s="8"/>
      <c r="E24" s="8"/>
      <c r="F24" s="8"/>
      <c r="G24" s="8"/>
      <c r="H24" s="8"/>
      <c r="I24" s="8"/>
    </row>
    <row r="25" spans="2:9" ht="18" customHeight="1" x14ac:dyDescent="0.35">
      <c r="B25" s="15"/>
      <c r="C25" s="15" t="s">
        <v>52</v>
      </c>
      <c r="D25" s="15" t="s">
        <v>330</v>
      </c>
      <c r="E25" s="15"/>
      <c r="F25" s="15"/>
      <c r="G25" s="15" t="s">
        <v>304</v>
      </c>
      <c r="H25" s="15"/>
      <c r="I25" s="15" t="s">
        <v>331</v>
      </c>
    </row>
    <row r="26" spans="2:9" ht="18" customHeight="1" x14ac:dyDescent="0.35">
      <c r="B26" s="15"/>
      <c r="C26" s="15" t="s">
        <v>58</v>
      </c>
      <c r="D26" s="15" t="s">
        <v>332</v>
      </c>
      <c r="E26" s="15"/>
      <c r="F26" s="15"/>
      <c r="G26" s="15" t="s">
        <v>329</v>
      </c>
      <c r="H26" s="15"/>
      <c r="I26" s="15"/>
    </row>
    <row r="27" spans="2:9" ht="18" customHeight="1" x14ac:dyDescent="0.35">
      <c r="B27" s="15"/>
      <c r="C27" s="15" t="s">
        <v>56</v>
      </c>
      <c r="D27" s="15" t="s">
        <v>333</v>
      </c>
      <c r="E27" s="15"/>
      <c r="F27" s="15"/>
      <c r="G27" s="15" t="s">
        <v>334</v>
      </c>
      <c r="H27" s="15"/>
      <c r="I27" s="15" t="s">
        <v>335</v>
      </c>
    </row>
    <row r="28" spans="2:9" ht="15.75" customHeight="1" x14ac:dyDescent="0.35">
      <c r="B28" s="8" t="s">
        <v>138</v>
      </c>
      <c r="C28" s="8"/>
      <c r="D28" s="8"/>
      <c r="E28" s="8"/>
      <c r="F28" s="8"/>
      <c r="G28" s="8"/>
      <c r="H28" s="8"/>
      <c r="I28" s="8"/>
    </row>
    <row r="29" spans="2:9" ht="18" customHeight="1" x14ac:dyDescent="0.35">
      <c r="B29" s="15"/>
      <c r="C29" s="15" t="s">
        <v>56</v>
      </c>
      <c r="D29" s="15" t="s">
        <v>336</v>
      </c>
      <c r="E29" s="15"/>
      <c r="F29" s="15"/>
      <c r="G29" s="15" t="s">
        <v>304</v>
      </c>
      <c r="H29" s="15"/>
      <c r="I29" s="15"/>
    </row>
    <row r="30" spans="2:9" ht="18" customHeight="1" x14ac:dyDescent="0.35">
      <c r="B30" s="15"/>
      <c r="C30" s="15" t="s">
        <v>57</v>
      </c>
      <c r="D30" s="15" t="s">
        <v>337</v>
      </c>
      <c r="E30" s="15"/>
      <c r="F30" s="15"/>
      <c r="G30" s="15" t="s">
        <v>304</v>
      </c>
      <c r="H30" s="15"/>
      <c r="I30" s="15" t="s">
        <v>338</v>
      </c>
    </row>
    <row r="31" spans="2:9" ht="18" customHeight="1" x14ac:dyDescent="0.35">
      <c r="B31" s="15"/>
      <c r="C31" s="15"/>
      <c r="D31" s="15"/>
      <c r="E31" s="15"/>
      <c r="F31" s="15"/>
      <c r="G31" s="15"/>
      <c r="H31" s="15"/>
      <c r="I31" s="15"/>
    </row>
    <row r="32" spans="2:9" ht="15.75" customHeight="1" x14ac:dyDescent="0.35">
      <c r="B32" s="8" t="s">
        <v>143</v>
      </c>
      <c r="C32" s="8"/>
      <c r="D32" s="8"/>
      <c r="E32" s="8"/>
      <c r="F32" s="8"/>
      <c r="G32" s="8"/>
      <c r="H32" s="8"/>
      <c r="I32" s="8"/>
    </row>
    <row r="33" spans="2:9" ht="18" customHeight="1" x14ac:dyDescent="0.35">
      <c r="B33" s="15"/>
      <c r="C33" s="15"/>
      <c r="D33" s="15"/>
      <c r="E33" s="15"/>
      <c r="F33" s="15"/>
      <c r="G33" s="15"/>
      <c r="H33" s="15"/>
      <c r="I33" s="15"/>
    </row>
    <row r="34" spans="2:9" ht="18" customHeight="1" x14ac:dyDescent="0.35">
      <c r="B34" s="15"/>
      <c r="C34" s="15"/>
      <c r="D34" s="15"/>
      <c r="E34" s="15"/>
      <c r="F34" s="15"/>
      <c r="G34" s="15"/>
      <c r="H34" s="15"/>
      <c r="I34" s="15"/>
    </row>
    <row r="35" spans="2:9" ht="18" customHeight="1" x14ac:dyDescent="0.35">
      <c r="B35" s="15"/>
      <c r="C35" s="15"/>
      <c r="D35" s="15"/>
      <c r="E35" s="15"/>
      <c r="F35" s="15"/>
      <c r="G35" s="15"/>
      <c r="H35" s="15"/>
      <c r="I35" s="15"/>
    </row>
    <row r="37" spans="2:9" ht="21.75" customHeight="1" x14ac:dyDescent="0.35">
      <c r="B37" s="7" t="s">
        <v>144</v>
      </c>
      <c r="C37" s="7"/>
      <c r="D37" s="7"/>
      <c r="E37" s="7"/>
      <c r="F37" s="7"/>
      <c r="G37" s="7"/>
      <c r="H37" s="7"/>
      <c r="I37" s="7"/>
    </row>
    <row r="38" spans="2:9" ht="13.5" customHeight="1" x14ac:dyDescent="0.35">
      <c r="B38" s="11" t="s">
        <v>145</v>
      </c>
      <c r="C38" s="11"/>
      <c r="D38" s="11"/>
      <c r="E38" s="11"/>
      <c r="F38" s="11"/>
      <c r="G38" s="11"/>
      <c r="H38" s="11"/>
      <c r="I38" s="11"/>
    </row>
    <row r="39" spans="2:9" ht="19.5" customHeight="1" x14ac:dyDescent="0.35">
      <c r="B39" s="22" t="s">
        <v>146</v>
      </c>
      <c r="C39" s="22" t="s">
        <v>147</v>
      </c>
      <c r="D39" s="22" t="s">
        <v>148</v>
      </c>
      <c r="E39" s="6" t="s">
        <v>149</v>
      </c>
      <c r="F39" s="6"/>
      <c r="G39" s="6"/>
      <c r="H39" s="6"/>
      <c r="I39" s="6"/>
    </row>
    <row r="40" spans="2:9" ht="21.75" customHeight="1" x14ac:dyDescent="0.35">
      <c r="B40" s="5" t="s">
        <v>339</v>
      </c>
      <c r="C40" s="5"/>
      <c r="D40" s="5"/>
      <c r="E40" s="4" t="s">
        <v>340</v>
      </c>
      <c r="F40" s="4"/>
      <c r="G40" s="4"/>
      <c r="H40" s="4"/>
      <c r="I40" s="4"/>
    </row>
    <row r="41" spans="2:9" ht="21.75" customHeight="1" x14ac:dyDescent="0.35">
      <c r="B41" s="3" t="s">
        <v>152</v>
      </c>
      <c r="C41" s="3"/>
      <c r="D41" s="3"/>
      <c r="E41" s="4" t="s">
        <v>341</v>
      </c>
      <c r="F41" s="4"/>
      <c r="G41" s="4"/>
      <c r="H41" s="4"/>
      <c r="I41" s="4"/>
    </row>
    <row r="42" spans="2:9" ht="21.75" customHeight="1" x14ac:dyDescent="0.35">
      <c r="B42" s="3" t="s">
        <v>154</v>
      </c>
      <c r="C42" s="3"/>
      <c r="D42" s="3"/>
      <c r="E42" s="4" t="s">
        <v>342</v>
      </c>
      <c r="F42" s="4"/>
      <c r="G42" s="4"/>
      <c r="H42" s="4"/>
      <c r="I42" s="4"/>
    </row>
    <row r="43" spans="2:9" ht="21.75" customHeight="1" x14ac:dyDescent="0.35">
      <c r="B43" s="3" t="s">
        <v>156</v>
      </c>
      <c r="C43" s="3"/>
      <c r="D43" s="3"/>
      <c r="E43" s="4" t="s">
        <v>343</v>
      </c>
      <c r="F43" s="4"/>
      <c r="G43" s="4"/>
      <c r="H43" s="4"/>
      <c r="I43" s="4"/>
    </row>
    <row r="44" spans="2:9" ht="21.75" customHeight="1" x14ac:dyDescent="0.35">
      <c r="B44" s="5" t="s">
        <v>344</v>
      </c>
      <c r="C44" s="5"/>
      <c r="D44" s="5"/>
      <c r="E44" s="4" t="s">
        <v>345</v>
      </c>
      <c r="F44" s="4"/>
      <c r="G44" s="4"/>
      <c r="H44" s="4"/>
      <c r="I44" s="4"/>
    </row>
    <row r="45" spans="2:9" ht="21.75" customHeight="1" x14ac:dyDescent="0.35">
      <c r="B45" s="3" t="s">
        <v>152</v>
      </c>
      <c r="C45" s="3"/>
      <c r="D45" s="3"/>
      <c r="E45" s="4" t="s">
        <v>346</v>
      </c>
      <c r="F45" s="4"/>
      <c r="G45" s="4"/>
      <c r="H45" s="4"/>
      <c r="I45" s="4"/>
    </row>
    <row r="46" spans="2:9" ht="21.75" customHeight="1" x14ac:dyDescent="0.35">
      <c r="B46" s="3" t="s">
        <v>154</v>
      </c>
      <c r="C46" s="3"/>
      <c r="D46" s="3"/>
      <c r="E46" s="4" t="s">
        <v>347</v>
      </c>
      <c r="F46" s="4"/>
      <c r="G46" s="4"/>
      <c r="H46" s="4"/>
      <c r="I46" s="4"/>
    </row>
    <row r="47" spans="2:9" ht="21.75" customHeight="1" x14ac:dyDescent="0.35">
      <c r="B47" s="3" t="s">
        <v>156</v>
      </c>
      <c r="C47" s="3"/>
      <c r="D47" s="3"/>
      <c r="E47" s="4" t="s">
        <v>348</v>
      </c>
      <c r="F47" s="4"/>
      <c r="G47" s="4"/>
      <c r="H47" s="4"/>
      <c r="I47" s="4"/>
    </row>
    <row r="48" spans="2:9" ht="21.75" customHeight="1" x14ac:dyDescent="0.35">
      <c r="B48" s="5" t="s">
        <v>349</v>
      </c>
      <c r="C48" s="5"/>
      <c r="D48" s="5"/>
      <c r="E48" s="4" t="s">
        <v>350</v>
      </c>
      <c r="F48" s="4"/>
      <c r="G48" s="4"/>
      <c r="H48" s="4"/>
      <c r="I48" s="4"/>
    </row>
    <row r="49" spans="2:9" ht="21.75" customHeight="1" x14ac:dyDescent="0.35">
      <c r="B49" s="3" t="s">
        <v>152</v>
      </c>
      <c r="C49" s="3"/>
      <c r="D49" s="3"/>
      <c r="E49" s="4" t="s">
        <v>351</v>
      </c>
      <c r="F49" s="4"/>
      <c r="G49" s="4"/>
      <c r="H49" s="4"/>
      <c r="I49" s="4"/>
    </row>
    <row r="50" spans="2:9" ht="21.75" customHeight="1" x14ac:dyDescent="0.35">
      <c r="B50" s="3" t="s">
        <v>154</v>
      </c>
      <c r="C50" s="3"/>
      <c r="D50" s="3"/>
      <c r="E50" s="4" t="s">
        <v>352</v>
      </c>
      <c r="F50" s="4"/>
      <c r="G50" s="4"/>
      <c r="H50" s="4"/>
      <c r="I50" s="4"/>
    </row>
    <row r="51" spans="2:9" ht="21.75" customHeight="1" x14ac:dyDescent="0.35">
      <c r="B51" s="3" t="s">
        <v>156</v>
      </c>
      <c r="C51" s="3"/>
      <c r="D51" s="3"/>
      <c r="E51" s="4" t="s">
        <v>353</v>
      </c>
      <c r="F51" s="4"/>
      <c r="G51" s="4"/>
      <c r="H51" s="4"/>
      <c r="I51" s="4"/>
    </row>
    <row r="52" spans="2:9" ht="21.75" customHeight="1" x14ac:dyDescent="0.35">
      <c r="B52" s="5" t="s">
        <v>168</v>
      </c>
      <c r="C52" s="5"/>
      <c r="D52" s="5"/>
      <c r="E52" s="4" t="s">
        <v>354</v>
      </c>
      <c r="F52" s="4"/>
      <c r="G52" s="4"/>
      <c r="H52" s="4"/>
      <c r="I52" s="4"/>
    </row>
    <row r="53" spans="2:9" ht="21.75" customHeight="1" x14ac:dyDescent="0.35">
      <c r="B53" s="3" t="s">
        <v>152</v>
      </c>
      <c r="C53" s="3"/>
      <c r="D53" s="3"/>
      <c r="E53" s="4" t="s">
        <v>355</v>
      </c>
      <c r="F53" s="4"/>
      <c r="G53" s="4"/>
      <c r="H53" s="4"/>
      <c r="I53" s="4"/>
    </row>
    <row r="54" spans="2:9" ht="21.75" customHeight="1" x14ac:dyDescent="0.35">
      <c r="B54" s="3" t="s">
        <v>154</v>
      </c>
      <c r="C54" s="3"/>
      <c r="D54" s="3"/>
      <c r="E54" s="4" t="s">
        <v>356</v>
      </c>
      <c r="F54" s="4"/>
      <c r="G54" s="4"/>
      <c r="H54" s="4"/>
      <c r="I54" s="4"/>
    </row>
    <row r="55" spans="2:9" ht="21.75" customHeight="1" x14ac:dyDescent="0.35">
      <c r="B55" s="3" t="s">
        <v>156</v>
      </c>
      <c r="C55" s="3"/>
      <c r="D55" s="3"/>
      <c r="E55" s="4" t="s">
        <v>357</v>
      </c>
      <c r="F55" s="4"/>
      <c r="G55" s="4"/>
      <c r="H55" s="4"/>
      <c r="I55" s="4"/>
    </row>
    <row r="56" spans="2:9" x14ac:dyDescent="0.35">
      <c r="E56" s="4"/>
      <c r="F56" s="4"/>
      <c r="G56" s="4"/>
      <c r="H56" s="4"/>
      <c r="I56" s="4"/>
    </row>
    <row r="57" spans="2:9" ht="21.75" customHeight="1" x14ac:dyDescent="0.35">
      <c r="B57" s="2" t="s">
        <v>173</v>
      </c>
      <c r="C57" s="2"/>
      <c r="D57" s="2"/>
      <c r="E57" s="2"/>
      <c r="F57" s="2"/>
      <c r="G57" s="2"/>
      <c r="H57" s="2"/>
      <c r="I57" s="2"/>
    </row>
    <row r="58" spans="2:9" ht="13.5" customHeight="1" x14ac:dyDescent="0.35">
      <c r="B58" s="11" t="s">
        <v>174</v>
      </c>
      <c r="C58" s="11"/>
      <c r="D58" s="11"/>
      <c r="E58" s="11"/>
      <c r="F58" s="11"/>
      <c r="G58" s="11"/>
      <c r="H58" s="11"/>
      <c r="I58" s="11"/>
    </row>
    <row r="59" spans="2:9" ht="18" customHeight="1" x14ac:dyDescent="0.35">
      <c r="B59" s="1" t="s">
        <v>175</v>
      </c>
      <c r="C59" s="1"/>
      <c r="D59" s="1"/>
      <c r="E59" s="1"/>
      <c r="F59" s="1"/>
      <c r="G59" s="1"/>
      <c r="H59" s="1"/>
      <c r="I59" s="1"/>
    </row>
    <row r="60" spans="2:9" ht="18" customHeight="1" x14ac:dyDescent="0.35">
      <c r="B60" s="24" t="s">
        <v>176</v>
      </c>
      <c r="C60" s="24"/>
      <c r="D60" s="24"/>
      <c r="E60" s="25" t="s">
        <v>358</v>
      </c>
      <c r="F60" s="25"/>
      <c r="G60" s="25"/>
      <c r="H60" s="25"/>
      <c r="I60" s="25"/>
    </row>
    <row r="61" spans="2:9" ht="18" customHeight="1" x14ac:dyDescent="0.35">
      <c r="B61" s="24" t="s">
        <v>178</v>
      </c>
      <c r="C61" s="24"/>
      <c r="D61" s="24"/>
      <c r="E61" s="25" t="s">
        <v>359</v>
      </c>
      <c r="F61" s="25"/>
      <c r="G61" s="25"/>
      <c r="H61" s="25"/>
      <c r="I61" s="25"/>
    </row>
    <row r="62" spans="2:9" ht="18" customHeight="1" x14ac:dyDescent="0.35">
      <c r="B62" s="24" t="s">
        <v>180</v>
      </c>
      <c r="C62" s="24"/>
      <c r="D62" s="24"/>
      <c r="E62" s="25" t="s">
        <v>360</v>
      </c>
      <c r="F62" s="25"/>
      <c r="G62" s="25"/>
      <c r="H62" s="25"/>
      <c r="I62" s="25"/>
    </row>
    <row r="63" spans="2:9" ht="18" customHeight="1" x14ac:dyDescent="0.35">
      <c r="B63" s="24" t="s">
        <v>182</v>
      </c>
      <c r="C63" s="24"/>
      <c r="D63" s="24"/>
      <c r="E63" s="25" t="s">
        <v>361</v>
      </c>
      <c r="F63" s="25"/>
      <c r="G63" s="25"/>
      <c r="H63" s="25"/>
      <c r="I63" s="25"/>
    </row>
    <row r="64" spans="2:9" ht="18" customHeight="1" x14ac:dyDescent="0.35">
      <c r="B64" s="24" t="s">
        <v>184</v>
      </c>
      <c r="C64" s="24"/>
      <c r="D64" s="24"/>
      <c r="E64" s="25" t="s">
        <v>362</v>
      </c>
      <c r="F64" s="25"/>
      <c r="G64" s="25"/>
      <c r="H64" s="25"/>
      <c r="I64" s="25"/>
    </row>
    <row r="66" spans="2:9" ht="18" customHeight="1" x14ac:dyDescent="0.35">
      <c r="B66" s="1" t="s">
        <v>186</v>
      </c>
      <c r="C66" s="1"/>
      <c r="D66" s="1"/>
      <c r="E66" s="1"/>
      <c r="F66" s="1"/>
      <c r="G66" s="1"/>
      <c r="H66" s="1"/>
      <c r="I66" s="1"/>
    </row>
    <row r="67" spans="2:9" ht="18" customHeight="1" x14ac:dyDescent="0.35">
      <c r="B67" s="24" t="s">
        <v>176</v>
      </c>
      <c r="C67" s="24"/>
      <c r="D67" s="24"/>
      <c r="E67" s="25" t="s">
        <v>363</v>
      </c>
      <c r="F67" s="25"/>
      <c r="G67" s="25"/>
      <c r="H67" s="25"/>
      <c r="I67" s="25"/>
    </row>
    <row r="68" spans="2:9" ht="18" customHeight="1" x14ac:dyDescent="0.35">
      <c r="B68" s="24" t="s">
        <v>178</v>
      </c>
      <c r="C68" s="24"/>
      <c r="D68" s="24"/>
      <c r="E68" s="25" t="s">
        <v>364</v>
      </c>
      <c r="F68" s="25"/>
      <c r="G68" s="25"/>
      <c r="H68" s="25"/>
      <c r="I68" s="25"/>
    </row>
    <row r="69" spans="2:9" ht="18" customHeight="1" x14ac:dyDescent="0.35">
      <c r="B69" s="24" t="s">
        <v>180</v>
      </c>
      <c r="C69" s="24"/>
      <c r="D69" s="24"/>
      <c r="E69" s="25" t="s">
        <v>365</v>
      </c>
      <c r="F69" s="25"/>
      <c r="G69" s="25"/>
      <c r="H69" s="25"/>
      <c r="I69" s="25"/>
    </row>
    <row r="70" spans="2:9" ht="18" customHeight="1" x14ac:dyDescent="0.35">
      <c r="B70" s="24" t="s">
        <v>182</v>
      </c>
      <c r="C70" s="24"/>
      <c r="D70" s="24"/>
      <c r="E70" s="25" t="s">
        <v>366</v>
      </c>
      <c r="F70" s="25"/>
      <c r="G70" s="25"/>
      <c r="H70" s="25"/>
      <c r="I70" s="25"/>
    </row>
    <row r="71" spans="2:9" ht="18" customHeight="1" x14ac:dyDescent="0.35">
      <c r="B71" s="24" t="s">
        <v>184</v>
      </c>
      <c r="C71" s="24"/>
      <c r="D71" s="24"/>
      <c r="E71" s="25" t="s">
        <v>367</v>
      </c>
      <c r="F71" s="25"/>
      <c r="G71" s="25"/>
      <c r="H71" s="25"/>
      <c r="I71" s="25"/>
    </row>
    <row r="73" spans="2:9" ht="18" customHeight="1" x14ac:dyDescent="0.35">
      <c r="B73" s="1" t="s">
        <v>192</v>
      </c>
      <c r="C73" s="1"/>
      <c r="D73" s="1"/>
      <c r="E73" s="1"/>
      <c r="F73" s="1"/>
      <c r="G73" s="1"/>
      <c r="H73" s="1"/>
      <c r="I73" s="1"/>
    </row>
    <row r="74" spans="2:9" ht="18" customHeight="1" x14ac:dyDescent="0.35">
      <c r="B74" s="24" t="s">
        <v>176</v>
      </c>
      <c r="C74" s="24"/>
      <c r="D74" s="24"/>
      <c r="E74" s="3" t="s">
        <v>368</v>
      </c>
      <c r="F74" s="3"/>
      <c r="G74" s="3"/>
      <c r="H74" s="3"/>
      <c r="I74" s="3"/>
    </row>
    <row r="75" spans="2:9" ht="18" customHeight="1" x14ac:dyDescent="0.35">
      <c r="B75" s="24" t="s">
        <v>178</v>
      </c>
      <c r="C75" s="24"/>
      <c r="D75" s="24"/>
      <c r="E75" s="3" t="s">
        <v>369</v>
      </c>
      <c r="F75" s="3"/>
      <c r="G75" s="3"/>
      <c r="H75" s="3"/>
      <c r="I75" s="3"/>
    </row>
    <row r="76" spans="2:9" ht="18" customHeight="1" x14ac:dyDescent="0.35">
      <c r="B76" s="24" t="s">
        <v>180</v>
      </c>
      <c r="C76" s="24"/>
      <c r="D76" s="24"/>
      <c r="E76" s="3" t="s">
        <v>370</v>
      </c>
      <c r="F76" s="3"/>
      <c r="G76" s="3"/>
      <c r="H76" s="3"/>
      <c r="I76" s="3"/>
    </row>
    <row r="77" spans="2:9" ht="18" customHeight="1" x14ac:dyDescent="0.35">
      <c r="B77" s="24" t="s">
        <v>182</v>
      </c>
      <c r="C77" s="24"/>
      <c r="D77" s="24"/>
      <c r="E77" s="3" t="s">
        <v>371</v>
      </c>
      <c r="F77" s="3"/>
      <c r="G77" s="3"/>
      <c r="H77" s="3"/>
      <c r="I77" s="3"/>
    </row>
    <row r="78" spans="2:9" ht="18" customHeight="1" x14ac:dyDescent="0.35">
      <c r="B78" s="24" t="s">
        <v>184</v>
      </c>
      <c r="C78" s="24"/>
      <c r="D78" s="24"/>
      <c r="E78" s="3" t="s">
        <v>372</v>
      </c>
      <c r="F78" s="3"/>
      <c r="G78" s="3"/>
      <c r="H78" s="3"/>
      <c r="I78" s="3"/>
    </row>
    <row r="80" spans="2:9" ht="18" customHeight="1" x14ac:dyDescent="0.35">
      <c r="B80" s="1" t="s">
        <v>198</v>
      </c>
      <c r="C80" s="1"/>
      <c r="D80" s="1"/>
      <c r="E80" s="1"/>
      <c r="F80" s="1"/>
      <c r="G80" s="1"/>
      <c r="H80" s="1"/>
      <c r="I80" s="1"/>
    </row>
    <row r="81" spans="2:9" ht="18" customHeight="1" x14ac:dyDescent="0.35">
      <c r="B81" s="24" t="s">
        <v>176</v>
      </c>
      <c r="C81" s="24"/>
      <c r="D81" s="24"/>
      <c r="E81" s="3" t="s">
        <v>373</v>
      </c>
      <c r="F81" s="3"/>
      <c r="G81" s="3"/>
      <c r="H81" s="3"/>
      <c r="I81" s="3"/>
    </row>
    <row r="82" spans="2:9" ht="18" customHeight="1" x14ac:dyDescent="0.35">
      <c r="B82" s="24" t="s">
        <v>178</v>
      </c>
      <c r="C82" s="24"/>
      <c r="D82" s="24"/>
      <c r="E82" s="3" t="s">
        <v>374</v>
      </c>
      <c r="F82" s="3"/>
      <c r="G82" s="3"/>
      <c r="H82" s="3"/>
      <c r="I82" s="3"/>
    </row>
    <row r="83" spans="2:9" ht="18" customHeight="1" x14ac:dyDescent="0.35">
      <c r="B83" s="24" t="s">
        <v>180</v>
      </c>
      <c r="C83" s="24"/>
      <c r="D83" s="24"/>
      <c r="E83" s="3" t="s">
        <v>375</v>
      </c>
      <c r="F83" s="3"/>
      <c r="G83" s="3"/>
      <c r="H83" s="3"/>
      <c r="I83" s="3"/>
    </row>
    <row r="84" spans="2:9" ht="18" customHeight="1" x14ac:dyDescent="0.35">
      <c r="B84" s="24" t="s">
        <v>182</v>
      </c>
      <c r="C84" s="24"/>
      <c r="D84" s="24"/>
      <c r="E84" s="3" t="s">
        <v>376</v>
      </c>
      <c r="F84" s="3"/>
      <c r="G84" s="3"/>
      <c r="H84" s="3"/>
      <c r="I84" s="3"/>
    </row>
    <row r="85" spans="2:9" ht="18" customHeight="1" x14ac:dyDescent="0.35">
      <c r="B85" s="24" t="s">
        <v>184</v>
      </c>
      <c r="C85" s="24"/>
      <c r="D85" s="24"/>
      <c r="E85" s="3" t="s">
        <v>377</v>
      </c>
      <c r="F85" s="3"/>
      <c r="G85" s="3"/>
      <c r="H85" s="3"/>
      <c r="I85" s="3"/>
    </row>
    <row r="87" spans="2:9" ht="18" customHeight="1" x14ac:dyDescent="0.35">
      <c r="B87" s="1" t="s">
        <v>204</v>
      </c>
      <c r="C87" s="1"/>
      <c r="D87" s="1"/>
      <c r="E87" s="1"/>
      <c r="F87" s="1"/>
      <c r="G87" s="1"/>
      <c r="H87" s="1"/>
      <c r="I87" s="1"/>
    </row>
    <row r="88" spans="2:9" ht="18" customHeight="1" x14ac:dyDescent="0.35">
      <c r="B88" s="24" t="s">
        <v>176</v>
      </c>
      <c r="C88" s="24"/>
      <c r="D88" s="24"/>
      <c r="E88" s="3" t="s">
        <v>378</v>
      </c>
      <c r="F88" s="3"/>
      <c r="G88" s="3"/>
      <c r="H88" s="3"/>
      <c r="I88" s="3"/>
    </row>
    <row r="89" spans="2:9" ht="18" customHeight="1" x14ac:dyDescent="0.35">
      <c r="B89" s="24" t="s">
        <v>178</v>
      </c>
      <c r="C89" s="24"/>
      <c r="D89" s="24"/>
      <c r="E89" s="3" t="s">
        <v>379</v>
      </c>
      <c r="F89" s="3"/>
      <c r="G89" s="3"/>
      <c r="H89" s="3"/>
      <c r="I89" s="3"/>
    </row>
    <row r="90" spans="2:9" ht="18" customHeight="1" x14ac:dyDescent="0.35">
      <c r="B90" s="24" t="s">
        <v>180</v>
      </c>
      <c r="C90" s="24"/>
      <c r="D90" s="24"/>
      <c r="E90" s="3" t="s">
        <v>380</v>
      </c>
      <c r="F90" s="3"/>
      <c r="G90" s="3"/>
      <c r="H90" s="3"/>
      <c r="I90" s="3"/>
    </row>
    <row r="91" spans="2:9" ht="18" customHeight="1" x14ac:dyDescent="0.35">
      <c r="B91" s="24" t="s">
        <v>182</v>
      </c>
      <c r="C91" s="24"/>
      <c r="D91" s="24"/>
      <c r="E91" s="3" t="s">
        <v>381</v>
      </c>
      <c r="F91" s="3"/>
      <c r="G91" s="3"/>
      <c r="H91" s="3"/>
      <c r="I91" s="3"/>
    </row>
    <row r="92" spans="2:9" ht="18" customHeight="1" x14ac:dyDescent="0.35">
      <c r="B92" s="24" t="s">
        <v>184</v>
      </c>
      <c r="C92" s="24"/>
      <c r="D92" s="24"/>
      <c r="E92" s="3" t="s">
        <v>382</v>
      </c>
      <c r="F92" s="3"/>
      <c r="G92" s="3"/>
      <c r="H92" s="3"/>
      <c r="I92" s="3"/>
    </row>
    <row r="94" spans="2:9" ht="15.75" customHeight="1" x14ac:dyDescent="0.35">
      <c r="B94" s="26" t="s">
        <v>383</v>
      </c>
      <c r="C94" s="26"/>
      <c r="D94" s="26"/>
      <c r="E94" s="26"/>
      <c r="F94" s="26"/>
      <c r="G94" s="26"/>
      <c r="H94" s="26"/>
      <c r="I94" s="26"/>
    </row>
  </sheetData>
  <mergeCells count="106">
    <mergeCell ref="B92:D92"/>
    <mergeCell ref="E92:I92"/>
    <mergeCell ref="B94:I94"/>
    <mergeCell ref="B87:I87"/>
    <mergeCell ref="B88:D88"/>
    <mergeCell ref="E88:I88"/>
    <mergeCell ref="B89:D89"/>
    <mergeCell ref="E89:I89"/>
    <mergeCell ref="B90:D90"/>
    <mergeCell ref="E90:I90"/>
    <mergeCell ref="B91:D91"/>
    <mergeCell ref="E91:I91"/>
    <mergeCell ref="B81:D81"/>
    <mergeCell ref="E81:I81"/>
    <mergeCell ref="B82:D82"/>
    <mergeCell ref="E82:I82"/>
    <mergeCell ref="B83:D83"/>
    <mergeCell ref="E83:I83"/>
    <mergeCell ref="B84:D84"/>
    <mergeCell ref="E84:I84"/>
    <mergeCell ref="B85:D85"/>
    <mergeCell ref="E85:I85"/>
    <mergeCell ref="B75:D75"/>
    <mergeCell ref="E75:I75"/>
    <mergeCell ref="B76:D76"/>
    <mergeCell ref="E76:I76"/>
    <mergeCell ref="B77:D77"/>
    <mergeCell ref="E77:I77"/>
    <mergeCell ref="B78:D78"/>
    <mergeCell ref="E78:I78"/>
    <mergeCell ref="B80:I80"/>
    <mergeCell ref="B69:D69"/>
    <mergeCell ref="E69:I69"/>
    <mergeCell ref="B70:D70"/>
    <mergeCell ref="E70:I70"/>
    <mergeCell ref="B71:D71"/>
    <mergeCell ref="E71:I71"/>
    <mergeCell ref="B73:I73"/>
    <mergeCell ref="B74:D74"/>
    <mergeCell ref="E74:I74"/>
    <mergeCell ref="B63:D63"/>
    <mergeCell ref="E63:I63"/>
    <mergeCell ref="B64:D64"/>
    <mergeCell ref="E64:I64"/>
    <mergeCell ref="B66:I66"/>
    <mergeCell ref="B67:D67"/>
    <mergeCell ref="E67:I67"/>
    <mergeCell ref="B68:D68"/>
    <mergeCell ref="E68:I68"/>
    <mergeCell ref="B57:I57"/>
    <mergeCell ref="B58:I58"/>
    <mergeCell ref="B59:I59"/>
    <mergeCell ref="B60:D60"/>
    <mergeCell ref="E60:I60"/>
    <mergeCell ref="B61:D61"/>
    <mergeCell ref="E61:I61"/>
    <mergeCell ref="B62:D62"/>
    <mergeCell ref="E62:I62"/>
    <mergeCell ref="B52:D52"/>
    <mergeCell ref="E52:I52"/>
    <mergeCell ref="B53:D53"/>
    <mergeCell ref="E53:I53"/>
    <mergeCell ref="B54:D54"/>
    <mergeCell ref="E54:I54"/>
    <mergeCell ref="B55:D55"/>
    <mergeCell ref="E55:I55"/>
    <mergeCell ref="E56:I56"/>
    <mergeCell ref="B47:D47"/>
    <mergeCell ref="E47:I47"/>
    <mergeCell ref="B48:D48"/>
    <mergeCell ref="E48:I48"/>
    <mergeCell ref="B49:D49"/>
    <mergeCell ref="E49:I49"/>
    <mergeCell ref="B50:D50"/>
    <mergeCell ref="E50:I50"/>
    <mergeCell ref="B51:D51"/>
    <mergeCell ref="E51:I51"/>
    <mergeCell ref="B42:D42"/>
    <mergeCell ref="E42:I42"/>
    <mergeCell ref="B43:D43"/>
    <mergeCell ref="E43:I43"/>
    <mergeCell ref="B44:D44"/>
    <mergeCell ref="E44:I44"/>
    <mergeCell ref="B45:D45"/>
    <mergeCell ref="E45:I45"/>
    <mergeCell ref="B46:D46"/>
    <mergeCell ref="E46:I46"/>
    <mergeCell ref="B24:I24"/>
    <mergeCell ref="B28:I28"/>
    <mergeCell ref="B32:I32"/>
    <mergeCell ref="B37:I37"/>
    <mergeCell ref="B38:I38"/>
    <mergeCell ref="E39:I39"/>
    <mergeCell ref="B40:D40"/>
    <mergeCell ref="E40:I40"/>
    <mergeCell ref="B41:D41"/>
    <mergeCell ref="E41:I41"/>
    <mergeCell ref="B2:I2"/>
    <mergeCell ref="B3:I3"/>
    <mergeCell ref="B5:I5"/>
    <mergeCell ref="B6:I6"/>
    <mergeCell ref="B17:I17"/>
    <mergeCell ref="B18:I18"/>
    <mergeCell ref="D19:F19"/>
    <mergeCell ref="G19:H19"/>
    <mergeCell ref="B20:I20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I94"/>
  <sheetViews>
    <sheetView showGridLines="0" topLeftCell="D11" zoomScaleNormal="100" workbookViewId="0">
      <selection activeCell="E71" sqref="E71:I71"/>
    </sheetView>
  </sheetViews>
  <sheetFormatPr defaultColWidth="8.6328125" defaultRowHeight="14.5" x14ac:dyDescent="0.35"/>
  <cols>
    <col min="1" max="1" width="3" customWidth="1"/>
    <col min="2" max="2" width="12" customWidth="1"/>
    <col min="3" max="3" width="6" customWidth="1"/>
    <col min="4" max="4" width="12.7265625" customWidth="1"/>
    <col min="5" max="5" width="54.08984375" customWidth="1"/>
    <col min="6" max="6" width="26.453125" customWidth="1"/>
    <col min="7" max="7" width="18.90625" bestFit="1" customWidth="1"/>
    <col min="8" max="8" width="54.453125" customWidth="1"/>
    <col min="9" max="9" width="31.36328125" customWidth="1"/>
  </cols>
  <sheetData>
    <row r="1" spans="2:9" ht="13.5" customHeight="1" x14ac:dyDescent="0.35"/>
    <row r="2" spans="2:9" ht="33.75" customHeight="1" x14ac:dyDescent="0.35">
      <c r="B2" s="14" t="s">
        <v>384</v>
      </c>
      <c r="C2" s="14"/>
      <c r="D2" s="14"/>
      <c r="E2" s="14"/>
      <c r="F2" s="14"/>
      <c r="G2" s="14"/>
      <c r="H2" s="14"/>
      <c r="I2" s="14"/>
    </row>
    <row r="3" spans="2:9" ht="15.75" customHeight="1" x14ac:dyDescent="0.35">
      <c r="B3" s="13" t="s">
        <v>72</v>
      </c>
      <c r="C3" s="13"/>
      <c r="D3" s="13"/>
      <c r="E3" s="13"/>
      <c r="F3" s="13"/>
      <c r="G3" s="13"/>
      <c r="H3" s="13"/>
      <c r="I3" s="13"/>
    </row>
    <row r="5" spans="2:9" ht="21.75" customHeight="1" x14ac:dyDescent="0.35">
      <c r="B5" s="12" t="s">
        <v>73</v>
      </c>
      <c r="C5" s="12"/>
      <c r="D5" s="12"/>
      <c r="E5" s="12"/>
      <c r="F5" s="12"/>
      <c r="G5" s="12"/>
      <c r="H5" s="12"/>
      <c r="I5" s="12"/>
    </row>
    <row r="6" spans="2:9" ht="13.5" customHeight="1" x14ac:dyDescent="0.35">
      <c r="B6" s="11" t="s">
        <v>74</v>
      </c>
      <c r="C6" s="11"/>
      <c r="D6" s="11"/>
      <c r="E6" s="11"/>
      <c r="F6" s="11"/>
      <c r="G6" s="11"/>
      <c r="H6" s="11"/>
      <c r="I6" s="11"/>
    </row>
    <row r="7" spans="2:9" ht="19.5" customHeight="1" x14ac:dyDescent="0.35">
      <c r="B7" s="17" t="s">
        <v>75</v>
      </c>
      <c r="C7" s="17" t="s">
        <v>76</v>
      </c>
      <c r="D7" s="17" t="s">
        <v>77</v>
      </c>
      <c r="E7" s="17" t="s">
        <v>78</v>
      </c>
      <c r="F7" s="17" t="s">
        <v>79</v>
      </c>
      <c r="G7" s="17" t="s">
        <v>80</v>
      </c>
      <c r="H7" s="17" t="s">
        <v>81</v>
      </c>
      <c r="I7" s="17" t="s">
        <v>82</v>
      </c>
    </row>
    <row r="8" spans="2:9" ht="18" customHeight="1" x14ac:dyDescent="0.35">
      <c r="B8" s="15" t="s">
        <v>385</v>
      </c>
      <c r="C8" s="15" t="s">
        <v>52</v>
      </c>
      <c r="D8" s="15" t="s">
        <v>84</v>
      </c>
      <c r="E8" s="15" t="s">
        <v>386</v>
      </c>
      <c r="F8" s="15" t="s">
        <v>387</v>
      </c>
      <c r="G8" s="15" t="s">
        <v>104</v>
      </c>
      <c r="H8" s="15" t="s">
        <v>388</v>
      </c>
      <c r="I8" s="15" t="s">
        <v>389</v>
      </c>
    </row>
    <row r="9" spans="2:9" ht="18" customHeight="1" x14ac:dyDescent="0.35">
      <c r="B9" s="15" t="s">
        <v>385</v>
      </c>
      <c r="C9" s="15" t="s">
        <v>54</v>
      </c>
      <c r="D9" s="15" t="s">
        <v>114</v>
      </c>
      <c r="E9" s="15" t="s">
        <v>390</v>
      </c>
      <c r="F9" s="15" t="s">
        <v>391</v>
      </c>
      <c r="G9" s="15" t="s">
        <v>104</v>
      </c>
      <c r="H9" s="15" t="s">
        <v>392</v>
      </c>
      <c r="I9" s="15" t="s">
        <v>393</v>
      </c>
    </row>
    <row r="10" spans="2:9" ht="18" customHeight="1" x14ac:dyDescent="0.35">
      <c r="B10" s="15" t="s">
        <v>394</v>
      </c>
      <c r="C10" s="15" t="s">
        <v>56</v>
      </c>
      <c r="D10" s="15" t="s">
        <v>84</v>
      </c>
      <c r="E10" s="15" t="s">
        <v>395</v>
      </c>
      <c r="F10" s="15" t="s">
        <v>248</v>
      </c>
      <c r="G10" s="15" t="s">
        <v>93</v>
      </c>
      <c r="H10" s="15" t="s">
        <v>396</v>
      </c>
      <c r="I10" s="15" t="s">
        <v>397</v>
      </c>
    </row>
    <row r="11" spans="2:9" ht="18" customHeight="1" x14ac:dyDescent="0.35">
      <c r="B11" s="15" t="s">
        <v>398</v>
      </c>
      <c r="C11" s="15" t="s">
        <v>57</v>
      </c>
      <c r="D11" s="15" t="s">
        <v>114</v>
      </c>
      <c r="E11" s="15" t="s">
        <v>399</v>
      </c>
      <c r="F11" s="15" t="s">
        <v>400</v>
      </c>
      <c r="G11" s="15" t="s">
        <v>104</v>
      </c>
      <c r="H11" s="15" t="s">
        <v>401</v>
      </c>
      <c r="I11" s="15" t="s">
        <v>402</v>
      </c>
    </row>
    <row r="12" spans="2:9" ht="18" customHeight="1" x14ac:dyDescent="0.35">
      <c r="B12" s="15" t="s">
        <v>403</v>
      </c>
      <c r="C12" s="15" t="s">
        <v>58</v>
      </c>
      <c r="D12" s="15" t="s">
        <v>108</v>
      </c>
      <c r="E12" s="15" t="s">
        <v>404</v>
      </c>
      <c r="F12" s="15" t="s">
        <v>248</v>
      </c>
      <c r="G12" s="15" t="s">
        <v>104</v>
      </c>
      <c r="H12" s="15" t="s">
        <v>405</v>
      </c>
      <c r="I12" s="15" t="s">
        <v>406</v>
      </c>
    </row>
    <row r="13" spans="2:9" ht="18" customHeight="1" x14ac:dyDescent="0.35">
      <c r="B13" s="15" t="s">
        <v>407</v>
      </c>
      <c r="C13" s="15" t="s">
        <v>52</v>
      </c>
      <c r="D13" s="15" t="s">
        <v>84</v>
      </c>
      <c r="E13" s="15" t="s">
        <v>408</v>
      </c>
      <c r="F13" s="15" t="s">
        <v>409</v>
      </c>
      <c r="G13" s="15" t="s">
        <v>87</v>
      </c>
      <c r="H13" s="15" t="s">
        <v>410</v>
      </c>
      <c r="I13" s="15" t="s">
        <v>411</v>
      </c>
    </row>
    <row r="14" spans="2:9" ht="18" customHeight="1" x14ac:dyDescent="0.35">
      <c r="B14" s="15"/>
      <c r="C14" s="15"/>
      <c r="D14" s="15"/>
      <c r="E14" s="15"/>
      <c r="F14" s="15"/>
      <c r="G14" s="15"/>
      <c r="H14" s="15"/>
      <c r="I14" s="15"/>
    </row>
    <row r="15" spans="2:9" ht="18" customHeight="1" x14ac:dyDescent="0.35">
      <c r="B15" s="15"/>
      <c r="C15" s="15"/>
      <c r="D15" s="15"/>
      <c r="E15" s="15"/>
      <c r="F15" s="15"/>
      <c r="G15" s="15"/>
      <c r="H15" s="15"/>
      <c r="I15" s="15"/>
    </row>
    <row r="17" spans="2:9" ht="21.75" customHeight="1" x14ac:dyDescent="0.35">
      <c r="B17" s="10" t="s">
        <v>119</v>
      </c>
      <c r="C17" s="10"/>
      <c r="D17" s="10"/>
      <c r="E17" s="10"/>
      <c r="F17" s="10"/>
      <c r="G17" s="10"/>
      <c r="H17" s="10"/>
      <c r="I17" s="10"/>
    </row>
    <row r="18" spans="2:9" ht="13.5" customHeight="1" x14ac:dyDescent="0.35">
      <c r="B18" s="11" t="s">
        <v>31</v>
      </c>
      <c r="C18" s="11"/>
      <c r="D18" s="11"/>
      <c r="E18" s="11"/>
      <c r="F18" s="11"/>
      <c r="G18" s="11"/>
      <c r="H18" s="11"/>
      <c r="I18" s="11"/>
    </row>
    <row r="19" spans="2:9" ht="19.5" customHeight="1" x14ac:dyDescent="0.35">
      <c r="B19" s="21" t="s">
        <v>120</v>
      </c>
      <c r="C19" s="21" t="s">
        <v>76</v>
      </c>
      <c r="D19" s="9" t="s">
        <v>121</v>
      </c>
      <c r="E19" s="9"/>
      <c r="F19" s="9"/>
      <c r="G19" s="9" t="s">
        <v>122</v>
      </c>
      <c r="H19" s="9"/>
      <c r="I19" s="21" t="s">
        <v>51</v>
      </c>
    </row>
    <row r="20" spans="2:9" ht="15.75" customHeight="1" x14ac:dyDescent="0.35">
      <c r="B20" s="8" t="s">
        <v>123</v>
      </c>
      <c r="C20" s="8"/>
      <c r="D20" s="8"/>
      <c r="E20" s="8"/>
      <c r="F20" s="8"/>
      <c r="G20" s="8"/>
      <c r="H20" s="8"/>
      <c r="I20" s="8"/>
    </row>
    <row r="21" spans="2:9" ht="18" customHeight="1" x14ac:dyDescent="0.35">
      <c r="B21" s="15"/>
      <c r="C21" s="15" t="s">
        <v>56</v>
      </c>
      <c r="D21" s="15" t="s">
        <v>412</v>
      </c>
      <c r="E21" s="15"/>
      <c r="F21" s="15"/>
      <c r="G21" s="15" t="s">
        <v>248</v>
      </c>
      <c r="H21" s="15"/>
      <c r="I21" s="15" t="s">
        <v>413</v>
      </c>
    </row>
    <row r="22" spans="2:9" ht="18" customHeight="1" x14ac:dyDescent="0.35">
      <c r="B22" s="15"/>
      <c r="C22" s="15" t="s">
        <v>54</v>
      </c>
      <c r="D22" s="15" t="s">
        <v>414</v>
      </c>
      <c r="E22" s="15"/>
      <c r="F22" s="15"/>
      <c r="G22" s="15" t="s">
        <v>391</v>
      </c>
      <c r="H22" s="15"/>
      <c r="I22" s="15" t="s">
        <v>415</v>
      </c>
    </row>
    <row r="23" spans="2:9" ht="18" customHeight="1" x14ac:dyDescent="0.35">
      <c r="B23" s="15"/>
      <c r="C23" s="15" t="s">
        <v>57</v>
      </c>
      <c r="D23" s="15" t="s">
        <v>416</v>
      </c>
      <c r="E23" s="15"/>
      <c r="F23" s="15"/>
      <c r="G23" s="15" t="s">
        <v>400</v>
      </c>
      <c r="H23" s="15"/>
      <c r="I23" s="15"/>
    </row>
    <row r="24" spans="2:9" ht="15.75" customHeight="1" x14ac:dyDescent="0.35">
      <c r="B24" s="8" t="s">
        <v>132</v>
      </c>
      <c r="C24" s="8"/>
      <c r="D24" s="8"/>
      <c r="E24" s="8"/>
      <c r="F24" s="8"/>
      <c r="G24" s="8"/>
      <c r="H24" s="8"/>
      <c r="I24" s="8"/>
    </row>
    <row r="25" spans="2:9" ht="18" customHeight="1" x14ac:dyDescent="0.35">
      <c r="B25" s="15"/>
      <c r="C25" s="15" t="s">
        <v>58</v>
      </c>
      <c r="D25" s="15" t="s">
        <v>417</v>
      </c>
      <c r="E25" s="15"/>
      <c r="F25" s="15"/>
      <c r="G25" s="15" t="s">
        <v>248</v>
      </c>
      <c r="H25" s="15"/>
      <c r="I25" s="15"/>
    </row>
    <row r="26" spans="2:9" ht="18" customHeight="1" x14ac:dyDescent="0.35">
      <c r="B26" s="15"/>
      <c r="C26" s="15" t="s">
        <v>52</v>
      </c>
      <c r="D26" s="15" t="s">
        <v>418</v>
      </c>
      <c r="E26" s="15"/>
      <c r="F26" s="15"/>
      <c r="G26" s="15" t="s">
        <v>329</v>
      </c>
      <c r="H26" s="15"/>
      <c r="I26" s="15"/>
    </row>
    <row r="27" spans="2:9" ht="18" customHeight="1" x14ac:dyDescent="0.35">
      <c r="B27" s="15"/>
      <c r="C27" s="15" t="s">
        <v>54</v>
      </c>
      <c r="D27" s="15" t="s">
        <v>419</v>
      </c>
      <c r="E27" s="15"/>
      <c r="F27" s="15"/>
      <c r="G27" s="15" t="s">
        <v>420</v>
      </c>
      <c r="H27" s="15"/>
      <c r="I27" s="15" t="s">
        <v>421</v>
      </c>
    </row>
    <row r="28" spans="2:9" ht="15.75" customHeight="1" x14ac:dyDescent="0.35">
      <c r="B28" s="8" t="s">
        <v>138</v>
      </c>
      <c r="C28" s="8"/>
      <c r="D28" s="8"/>
      <c r="E28" s="8"/>
      <c r="F28" s="8"/>
      <c r="G28" s="8"/>
      <c r="H28" s="8"/>
      <c r="I28" s="8"/>
    </row>
    <row r="29" spans="2:9" ht="18" customHeight="1" x14ac:dyDescent="0.35">
      <c r="B29" s="15"/>
      <c r="C29" s="15" t="s">
        <v>56</v>
      </c>
      <c r="D29" s="15" t="s">
        <v>422</v>
      </c>
      <c r="E29" s="15"/>
      <c r="F29" s="15"/>
      <c r="G29" s="15" t="s">
        <v>248</v>
      </c>
      <c r="H29" s="15"/>
      <c r="I29" s="15" t="s">
        <v>423</v>
      </c>
    </row>
    <row r="30" spans="2:9" ht="18" customHeight="1" x14ac:dyDescent="0.35">
      <c r="B30" s="15"/>
      <c r="C30" s="15" t="s">
        <v>57</v>
      </c>
      <c r="D30" s="15" t="s">
        <v>424</v>
      </c>
      <c r="E30" s="15"/>
      <c r="F30" s="15"/>
      <c r="G30" s="15" t="s">
        <v>400</v>
      </c>
      <c r="H30" s="15"/>
      <c r="I30" s="15" t="s">
        <v>425</v>
      </c>
    </row>
    <row r="31" spans="2:9" ht="18" customHeight="1" x14ac:dyDescent="0.35">
      <c r="B31" s="15"/>
      <c r="C31" s="15"/>
      <c r="D31" s="15"/>
      <c r="E31" s="15"/>
      <c r="F31" s="15"/>
      <c r="G31" s="15"/>
      <c r="H31" s="15"/>
      <c r="I31" s="15"/>
    </row>
    <row r="32" spans="2:9" ht="15.75" customHeight="1" x14ac:dyDescent="0.35">
      <c r="B32" s="8" t="s">
        <v>143</v>
      </c>
      <c r="C32" s="8"/>
      <c r="D32" s="8"/>
      <c r="E32" s="8"/>
      <c r="F32" s="8"/>
      <c r="G32" s="8"/>
      <c r="H32" s="8"/>
      <c r="I32" s="8"/>
    </row>
    <row r="33" spans="2:9" ht="18" customHeight="1" x14ac:dyDescent="0.35">
      <c r="B33" s="15"/>
      <c r="C33" s="15"/>
      <c r="D33" s="15"/>
      <c r="E33" s="15"/>
      <c r="F33" s="15"/>
      <c r="G33" s="15"/>
      <c r="H33" s="15"/>
      <c r="I33" s="15"/>
    </row>
    <row r="34" spans="2:9" ht="18" customHeight="1" x14ac:dyDescent="0.35">
      <c r="B34" s="15"/>
      <c r="C34" s="15"/>
      <c r="D34" s="15"/>
      <c r="E34" s="15"/>
      <c r="F34" s="15"/>
      <c r="G34" s="15"/>
      <c r="H34" s="15"/>
      <c r="I34" s="15"/>
    </row>
    <row r="35" spans="2:9" ht="18" customHeight="1" x14ac:dyDescent="0.35">
      <c r="B35" s="15"/>
      <c r="C35" s="15"/>
      <c r="D35" s="15"/>
      <c r="E35" s="15"/>
      <c r="F35" s="15"/>
      <c r="G35" s="15"/>
      <c r="H35" s="15"/>
      <c r="I35" s="15"/>
    </row>
    <row r="37" spans="2:9" ht="21.75" customHeight="1" x14ac:dyDescent="0.35">
      <c r="B37" s="7" t="s">
        <v>144</v>
      </c>
      <c r="C37" s="7"/>
      <c r="D37" s="7"/>
      <c r="E37" s="7"/>
      <c r="F37" s="7"/>
      <c r="G37" s="7"/>
      <c r="H37" s="7"/>
      <c r="I37" s="7"/>
    </row>
    <row r="38" spans="2:9" ht="13.5" customHeight="1" x14ac:dyDescent="0.35">
      <c r="B38" s="11" t="s">
        <v>145</v>
      </c>
      <c r="C38" s="11"/>
      <c r="D38" s="11"/>
      <c r="E38" s="11"/>
      <c r="F38" s="11"/>
      <c r="G38" s="11"/>
      <c r="H38" s="11"/>
      <c r="I38" s="11"/>
    </row>
    <row r="39" spans="2:9" ht="19.5" customHeight="1" x14ac:dyDescent="0.35">
      <c r="B39" s="22" t="s">
        <v>146</v>
      </c>
      <c r="C39" s="22" t="s">
        <v>147</v>
      </c>
      <c r="D39" s="22" t="s">
        <v>148</v>
      </c>
      <c r="E39" s="6" t="s">
        <v>149</v>
      </c>
      <c r="F39" s="6"/>
      <c r="G39" s="6"/>
      <c r="H39" s="6"/>
      <c r="I39" s="6"/>
    </row>
    <row r="40" spans="2:9" ht="21.75" customHeight="1" x14ac:dyDescent="0.35">
      <c r="B40" s="5" t="s">
        <v>339</v>
      </c>
      <c r="C40" s="5"/>
      <c r="D40" s="5"/>
      <c r="E40" s="4" t="s">
        <v>426</v>
      </c>
      <c r="F40" s="4"/>
      <c r="G40" s="4"/>
      <c r="H40" s="4"/>
      <c r="I40" s="4"/>
    </row>
    <row r="41" spans="2:9" ht="21.75" customHeight="1" x14ac:dyDescent="0.35">
      <c r="B41" s="3" t="s">
        <v>152</v>
      </c>
      <c r="C41" s="3"/>
      <c r="D41" s="3"/>
      <c r="E41" s="4" t="s">
        <v>427</v>
      </c>
      <c r="F41" s="4"/>
      <c r="G41" s="4"/>
      <c r="H41" s="4"/>
      <c r="I41" s="4"/>
    </row>
    <row r="42" spans="2:9" ht="21.75" customHeight="1" x14ac:dyDescent="0.35">
      <c r="B42" s="3" t="s">
        <v>154</v>
      </c>
      <c r="C42" s="3"/>
      <c r="D42" s="3"/>
      <c r="E42" s="4" t="s">
        <v>428</v>
      </c>
      <c r="F42" s="4"/>
      <c r="G42" s="4"/>
      <c r="H42" s="4"/>
      <c r="I42" s="4"/>
    </row>
    <row r="43" spans="2:9" ht="21.75" customHeight="1" x14ac:dyDescent="0.35">
      <c r="B43" s="3" t="s">
        <v>156</v>
      </c>
      <c r="C43" s="3"/>
      <c r="D43" s="3"/>
      <c r="E43" s="4" t="s">
        <v>429</v>
      </c>
      <c r="F43" s="4"/>
      <c r="G43" s="4"/>
      <c r="H43" s="4"/>
      <c r="I43" s="4"/>
    </row>
    <row r="44" spans="2:9" ht="21.75" customHeight="1" x14ac:dyDescent="0.35">
      <c r="B44" s="5" t="s">
        <v>430</v>
      </c>
      <c r="C44" s="5"/>
      <c r="D44" s="5"/>
      <c r="E44" s="4" t="s">
        <v>431</v>
      </c>
      <c r="F44" s="4"/>
      <c r="G44" s="4"/>
      <c r="H44" s="4"/>
      <c r="I44" s="4"/>
    </row>
    <row r="45" spans="2:9" ht="21.75" customHeight="1" x14ac:dyDescent="0.35">
      <c r="B45" s="3" t="s">
        <v>152</v>
      </c>
      <c r="C45" s="3"/>
      <c r="D45" s="3"/>
      <c r="E45" s="4" t="s">
        <v>432</v>
      </c>
      <c r="F45" s="4"/>
      <c r="G45" s="4"/>
      <c r="H45" s="4"/>
      <c r="I45" s="4"/>
    </row>
    <row r="46" spans="2:9" ht="21.75" customHeight="1" x14ac:dyDescent="0.35">
      <c r="B46" s="3" t="s">
        <v>154</v>
      </c>
      <c r="C46" s="3"/>
      <c r="D46" s="3"/>
      <c r="E46" s="4" t="s">
        <v>433</v>
      </c>
      <c r="F46" s="4"/>
      <c r="G46" s="4"/>
      <c r="H46" s="4"/>
      <c r="I46" s="4"/>
    </row>
    <row r="47" spans="2:9" ht="21.75" customHeight="1" x14ac:dyDescent="0.35">
      <c r="B47" s="3" t="s">
        <v>156</v>
      </c>
      <c r="C47" s="3"/>
      <c r="D47" s="3"/>
      <c r="E47" s="4" t="s">
        <v>434</v>
      </c>
      <c r="F47" s="4"/>
      <c r="G47" s="4"/>
      <c r="H47" s="4"/>
      <c r="I47" s="4"/>
    </row>
    <row r="48" spans="2:9" ht="21.75" customHeight="1" x14ac:dyDescent="0.35">
      <c r="B48" s="5" t="s">
        <v>163</v>
      </c>
      <c r="C48" s="5"/>
      <c r="D48" s="5"/>
      <c r="E48" s="4" t="s">
        <v>435</v>
      </c>
      <c r="F48" s="4"/>
      <c r="G48" s="4"/>
      <c r="H48" s="4"/>
      <c r="I48" s="4"/>
    </row>
    <row r="49" spans="2:9" ht="21.75" customHeight="1" x14ac:dyDescent="0.35">
      <c r="B49" s="3" t="s">
        <v>152</v>
      </c>
      <c r="C49" s="3"/>
      <c r="D49" s="3"/>
      <c r="E49" s="4" t="s">
        <v>436</v>
      </c>
      <c r="F49" s="4"/>
      <c r="G49" s="4"/>
      <c r="H49" s="4"/>
      <c r="I49" s="4"/>
    </row>
    <row r="50" spans="2:9" ht="21.75" customHeight="1" x14ac:dyDescent="0.35">
      <c r="B50" s="3" t="s">
        <v>154</v>
      </c>
      <c r="C50" s="3"/>
      <c r="D50" s="3"/>
      <c r="E50" s="4" t="s">
        <v>437</v>
      </c>
      <c r="F50" s="4"/>
      <c r="G50" s="4"/>
      <c r="H50" s="4"/>
      <c r="I50" s="4"/>
    </row>
    <row r="51" spans="2:9" ht="21.75" customHeight="1" x14ac:dyDescent="0.35">
      <c r="B51" s="3" t="s">
        <v>156</v>
      </c>
      <c r="C51" s="3"/>
      <c r="D51" s="3"/>
      <c r="E51" s="4" t="s">
        <v>438</v>
      </c>
      <c r="F51" s="4"/>
      <c r="G51" s="4"/>
      <c r="H51" s="4"/>
      <c r="I51" s="4"/>
    </row>
    <row r="52" spans="2:9" ht="21.75" customHeight="1" x14ac:dyDescent="0.35">
      <c r="B52" s="5" t="s">
        <v>439</v>
      </c>
      <c r="C52" s="5"/>
      <c r="D52" s="5"/>
      <c r="E52" s="4" t="s">
        <v>440</v>
      </c>
      <c r="F52" s="4"/>
      <c r="G52" s="4"/>
      <c r="H52" s="4"/>
      <c r="I52" s="4"/>
    </row>
    <row r="53" spans="2:9" ht="21.75" customHeight="1" x14ac:dyDescent="0.35">
      <c r="B53" s="3" t="s">
        <v>152</v>
      </c>
      <c r="C53" s="3"/>
      <c r="D53" s="3"/>
      <c r="E53" s="4" t="s">
        <v>441</v>
      </c>
      <c r="F53" s="4"/>
      <c r="G53" s="4"/>
      <c r="H53" s="4"/>
      <c r="I53" s="4"/>
    </row>
    <row r="54" spans="2:9" ht="21.75" customHeight="1" x14ac:dyDescent="0.35">
      <c r="B54" s="3" t="s">
        <v>154</v>
      </c>
      <c r="C54" s="3"/>
      <c r="D54" s="3"/>
      <c r="E54" s="4" t="s">
        <v>442</v>
      </c>
      <c r="F54" s="4"/>
      <c r="G54" s="4"/>
      <c r="H54" s="4"/>
      <c r="I54" s="4"/>
    </row>
    <row r="55" spans="2:9" ht="21.75" customHeight="1" x14ac:dyDescent="0.35">
      <c r="B55" s="3" t="s">
        <v>156</v>
      </c>
      <c r="C55" s="3"/>
      <c r="D55" s="3"/>
      <c r="E55" s="4" t="s">
        <v>443</v>
      </c>
      <c r="F55" s="4"/>
      <c r="G55" s="4"/>
      <c r="H55" s="4"/>
      <c r="I55" s="4"/>
    </row>
    <row r="56" spans="2:9" x14ac:dyDescent="0.35">
      <c r="E56" s="4"/>
      <c r="F56" s="4"/>
      <c r="G56" s="4"/>
      <c r="H56" s="4"/>
      <c r="I56" s="4"/>
    </row>
    <row r="57" spans="2:9" ht="21.75" customHeight="1" x14ac:dyDescent="0.35">
      <c r="B57" s="2" t="s">
        <v>173</v>
      </c>
      <c r="C57" s="2"/>
      <c r="D57" s="2"/>
      <c r="E57" s="2"/>
      <c r="F57" s="2"/>
      <c r="G57" s="2"/>
      <c r="H57" s="2"/>
      <c r="I57" s="2"/>
    </row>
    <row r="58" spans="2:9" ht="13.5" customHeight="1" x14ac:dyDescent="0.35">
      <c r="B58" s="11" t="s">
        <v>174</v>
      </c>
      <c r="C58" s="11"/>
      <c r="D58" s="11"/>
      <c r="E58" s="11"/>
      <c r="F58" s="11"/>
      <c r="G58" s="11"/>
      <c r="H58" s="11"/>
      <c r="I58" s="11"/>
    </row>
    <row r="59" spans="2:9" ht="18" customHeight="1" x14ac:dyDescent="0.35">
      <c r="B59" s="1" t="s">
        <v>175</v>
      </c>
      <c r="C59" s="1"/>
      <c r="D59" s="1"/>
      <c r="E59" s="1"/>
      <c r="F59" s="1"/>
      <c r="G59" s="1"/>
      <c r="H59" s="1"/>
      <c r="I59" s="1"/>
    </row>
    <row r="60" spans="2:9" ht="18" customHeight="1" x14ac:dyDescent="0.35">
      <c r="B60" s="24" t="s">
        <v>176</v>
      </c>
      <c r="C60" s="24"/>
      <c r="D60" s="24"/>
      <c r="E60" s="25" t="s">
        <v>444</v>
      </c>
      <c r="F60" s="25"/>
      <c r="G60" s="25"/>
      <c r="H60" s="25"/>
      <c r="I60" s="25"/>
    </row>
    <row r="61" spans="2:9" ht="18" customHeight="1" x14ac:dyDescent="0.35">
      <c r="B61" s="24" t="s">
        <v>178</v>
      </c>
      <c r="C61" s="24"/>
      <c r="D61" s="24"/>
      <c r="E61" s="25" t="s">
        <v>445</v>
      </c>
      <c r="F61" s="25"/>
      <c r="G61" s="25"/>
      <c r="H61" s="25"/>
      <c r="I61" s="25"/>
    </row>
    <row r="62" spans="2:9" ht="18" customHeight="1" x14ac:dyDescent="0.35">
      <c r="B62" s="24" t="s">
        <v>180</v>
      </c>
      <c r="C62" s="24"/>
      <c r="D62" s="24"/>
      <c r="E62" s="25" t="s">
        <v>446</v>
      </c>
      <c r="F62" s="25"/>
      <c r="G62" s="25"/>
      <c r="H62" s="25"/>
      <c r="I62" s="25"/>
    </row>
    <row r="63" spans="2:9" ht="18" customHeight="1" x14ac:dyDescent="0.35">
      <c r="B63" s="24" t="s">
        <v>182</v>
      </c>
      <c r="C63" s="24"/>
      <c r="D63" s="24"/>
      <c r="E63" s="25" t="s">
        <v>447</v>
      </c>
      <c r="F63" s="25"/>
      <c r="G63" s="25"/>
      <c r="H63" s="25"/>
      <c r="I63" s="25"/>
    </row>
    <row r="64" spans="2:9" ht="18" customHeight="1" x14ac:dyDescent="0.35">
      <c r="B64" s="24" t="s">
        <v>184</v>
      </c>
      <c r="C64" s="24"/>
      <c r="D64" s="24"/>
      <c r="E64" s="25" t="s">
        <v>448</v>
      </c>
      <c r="F64" s="25"/>
      <c r="G64" s="25"/>
      <c r="H64" s="25"/>
      <c r="I64" s="25"/>
    </row>
    <row r="66" spans="2:9" ht="18" customHeight="1" x14ac:dyDescent="0.35">
      <c r="B66" s="1" t="s">
        <v>186</v>
      </c>
      <c r="C66" s="1"/>
      <c r="D66" s="1"/>
      <c r="E66" s="1"/>
      <c r="F66" s="1"/>
      <c r="G66" s="1"/>
      <c r="H66" s="1"/>
      <c r="I66" s="1"/>
    </row>
    <row r="67" spans="2:9" ht="18" customHeight="1" x14ac:dyDescent="0.35">
      <c r="B67" s="24" t="s">
        <v>176</v>
      </c>
      <c r="C67" s="24"/>
      <c r="D67" s="24"/>
      <c r="E67" s="25" t="s">
        <v>449</v>
      </c>
      <c r="F67" s="25"/>
      <c r="G67" s="25"/>
      <c r="H67" s="25"/>
      <c r="I67" s="25"/>
    </row>
    <row r="68" spans="2:9" ht="18" customHeight="1" x14ac:dyDescent="0.35">
      <c r="B68" s="24" t="s">
        <v>178</v>
      </c>
      <c r="C68" s="24"/>
      <c r="D68" s="24"/>
      <c r="E68" s="25" t="s">
        <v>450</v>
      </c>
      <c r="F68" s="25"/>
      <c r="G68" s="25"/>
      <c r="H68" s="25"/>
      <c r="I68" s="25"/>
    </row>
    <row r="69" spans="2:9" ht="18" customHeight="1" x14ac:dyDescent="0.35">
      <c r="B69" s="24" t="s">
        <v>180</v>
      </c>
      <c r="C69" s="24"/>
      <c r="D69" s="24"/>
      <c r="E69" s="25" t="s">
        <v>451</v>
      </c>
      <c r="F69" s="25"/>
      <c r="G69" s="25"/>
      <c r="H69" s="25"/>
      <c r="I69" s="25"/>
    </row>
    <row r="70" spans="2:9" ht="18" customHeight="1" x14ac:dyDescent="0.35">
      <c r="B70" s="24" t="s">
        <v>182</v>
      </c>
      <c r="C70" s="24"/>
      <c r="D70" s="24"/>
      <c r="E70" s="25" t="s">
        <v>452</v>
      </c>
      <c r="F70" s="25"/>
      <c r="G70" s="25"/>
      <c r="H70" s="25"/>
      <c r="I70" s="25"/>
    </row>
    <row r="71" spans="2:9" ht="18" customHeight="1" x14ac:dyDescent="0.35">
      <c r="B71" s="24" t="s">
        <v>184</v>
      </c>
      <c r="C71" s="24"/>
      <c r="D71" s="24"/>
      <c r="E71" s="25" t="s">
        <v>453</v>
      </c>
      <c r="F71" s="25"/>
      <c r="G71" s="25"/>
      <c r="H71" s="25"/>
      <c r="I71" s="25"/>
    </row>
    <row r="73" spans="2:9" ht="18" customHeight="1" x14ac:dyDescent="0.35">
      <c r="B73" s="1" t="s">
        <v>192</v>
      </c>
      <c r="C73" s="1"/>
      <c r="D73" s="1"/>
      <c r="E73" s="1"/>
      <c r="F73" s="1"/>
      <c r="G73" s="1"/>
      <c r="H73" s="1"/>
      <c r="I73" s="1"/>
    </row>
    <row r="74" spans="2:9" ht="18" customHeight="1" x14ac:dyDescent="0.35">
      <c r="B74" s="24" t="s">
        <v>176</v>
      </c>
      <c r="C74" s="24"/>
      <c r="D74" s="24"/>
      <c r="E74" s="3" t="s">
        <v>454</v>
      </c>
      <c r="F74" s="3"/>
      <c r="G74" s="3"/>
      <c r="H74" s="3"/>
      <c r="I74" s="3"/>
    </row>
    <row r="75" spans="2:9" ht="18" customHeight="1" x14ac:dyDescent="0.35">
      <c r="B75" s="24" t="s">
        <v>178</v>
      </c>
      <c r="C75" s="24"/>
      <c r="D75" s="24"/>
      <c r="E75" s="3" t="s">
        <v>455</v>
      </c>
      <c r="F75" s="3"/>
      <c r="G75" s="3"/>
      <c r="H75" s="3"/>
      <c r="I75" s="3"/>
    </row>
    <row r="76" spans="2:9" ht="18" customHeight="1" x14ac:dyDescent="0.35">
      <c r="B76" s="24" t="s">
        <v>180</v>
      </c>
      <c r="C76" s="24"/>
      <c r="D76" s="24"/>
      <c r="E76" s="3" t="s">
        <v>456</v>
      </c>
      <c r="F76" s="3"/>
      <c r="G76" s="3"/>
      <c r="H76" s="3"/>
      <c r="I76" s="3"/>
    </row>
    <row r="77" spans="2:9" ht="18" customHeight="1" x14ac:dyDescent="0.35">
      <c r="B77" s="24" t="s">
        <v>182</v>
      </c>
      <c r="C77" s="24"/>
      <c r="D77" s="24"/>
      <c r="E77" s="3" t="s">
        <v>457</v>
      </c>
      <c r="F77" s="3"/>
      <c r="G77" s="3"/>
      <c r="H77" s="3"/>
      <c r="I77" s="3"/>
    </row>
    <row r="78" spans="2:9" ht="18" customHeight="1" x14ac:dyDescent="0.35">
      <c r="B78" s="24" t="s">
        <v>184</v>
      </c>
      <c r="C78" s="24"/>
      <c r="D78" s="24"/>
      <c r="E78" s="3" t="s">
        <v>458</v>
      </c>
      <c r="F78" s="3"/>
      <c r="G78" s="3"/>
      <c r="H78" s="3"/>
      <c r="I78" s="3"/>
    </row>
    <row r="80" spans="2:9" ht="18" customHeight="1" x14ac:dyDescent="0.35">
      <c r="B80" s="1" t="s">
        <v>198</v>
      </c>
      <c r="C80" s="1"/>
      <c r="D80" s="1"/>
      <c r="E80" s="1"/>
      <c r="F80" s="1"/>
      <c r="G80" s="1"/>
      <c r="H80" s="1"/>
      <c r="I80" s="1"/>
    </row>
    <row r="81" spans="2:9" ht="18" customHeight="1" x14ac:dyDescent="0.35">
      <c r="B81" s="24" t="s">
        <v>176</v>
      </c>
      <c r="C81" s="24"/>
      <c r="D81" s="24"/>
      <c r="E81" s="3" t="s">
        <v>459</v>
      </c>
      <c r="F81" s="3"/>
      <c r="G81" s="3"/>
      <c r="H81" s="3"/>
      <c r="I81" s="3"/>
    </row>
    <row r="82" spans="2:9" ht="18" customHeight="1" x14ac:dyDescent="0.35">
      <c r="B82" s="24" t="s">
        <v>178</v>
      </c>
      <c r="C82" s="24"/>
      <c r="D82" s="24"/>
      <c r="E82" s="3" t="s">
        <v>460</v>
      </c>
      <c r="F82" s="3"/>
      <c r="G82" s="3"/>
      <c r="H82" s="3"/>
      <c r="I82" s="3"/>
    </row>
    <row r="83" spans="2:9" ht="18" customHeight="1" x14ac:dyDescent="0.35">
      <c r="B83" s="24" t="s">
        <v>180</v>
      </c>
      <c r="C83" s="24"/>
      <c r="D83" s="24"/>
      <c r="E83" s="3" t="s">
        <v>461</v>
      </c>
      <c r="F83" s="3"/>
      <c r="G83" s="3"/>
      <c r="H83" s="3"/>
      <c r="I83" s="3"/>
    </row>
    <row r="84" spans="2:9" ht="18" customHeight="1" x14ac:dyDescent="0.35">
      <c r="B84" s="24" t="s">
        <v>182</v>
      </c>
      <c r="C84" s="24"/>
      <c r="D84" s="24"/>
      <c r="E84" s="3" t="s">
        <v>462</v>
      </c>
      <c r="F84" s="3"/>
      <c r="G84" s="3"/>
      <c r="H84" s="3"/>
      <c r="I84" s="3"/>
    </row>
    <row r="85" spans="2:9" ht="18" customHeight="1" x14ac:dyDescent="0.35">
      <c r="B85" s="24" t="s">
        <v>184</v>
      </c>
      <c r="C85" s="24"/>
      <c r="D85" s="24"/>
      <c r="E85" s="3" t="s">
        <v>463</v>
      </c>
      <c r="F85" s="3"/>
      <c r="G85" s="3"/>
      <c r="H85" s="3"/>
      <c r="I85" s="3"/>
    </row>
    <row r="87" spans="2:9" ht="18" customHeight="1" x14ac:dyDescent="0.35">
      <c r="B87" s="1" t="s">
        <v>204</v>
      </c>
      <c r="C87" s="1"/>
      <c r="D87" s="1"/>
      <c r="E87" s="1"/>
      <c r="F87" s="1"/>
      <c r="G87" s="1"/>
      <c r="H87" s="1"/>
      <c r="I87" s="1"/>
    </row>
    <row r="88" spans="2:9" ht="18" customHeight="1" x14ac:dyDescent="0.35">
      <c r="B88" s="24" t="s">
        <v>176</v>
      </c>
      <c r="C88" s="24"/>
      <c r="D88" s="24"/>
      <c r="E88" s="3" t="s">
        <v>464</v>
      </c>
      <c r="F88" s="3"/>
      <c r="G88" s="3"/>
      <c r="H88" s="3"/>
      <c r="I88" s="3"/>
    </row>
    <row r="89" spans="2:9" ht="18" customHeight="1" x14ac:dyDescent="0.35">
      <c r="B89" s="24" t="s">
        <v>178</v>
      </c>
      <c r="C89" s="24"/>
      <c r="D89" s="24"/>
      <c r="E89" s="3" t="s">
        <v>465</v>
      </c>
      <c r="F89" s="3"/>
      <c r="G89" s="3"/>
      <c r="H89" s="3"/>
      <c r="I89" s="3"/>
    </row>
    <row r="90" spans="2:9" ht="18" customHeight="1" x14ac:dyDescent="0.35">
      <c r="B90" s="24" t="s">
        <v>180</v>
      </c>
      <c r="C90" s="24"/>
      <c r="D90" s="24"/>
      <c r="E90" s="3" t="s">
        <v>466</v>
      </c>
      <c r="F90" s="3"/>
      <c r="G90" s="3"/>
      <c r="H90" s="3"/>
      <c r="I90" s="3"/>
    </row>
    <row r="91" spans="2:9" ht="18" customHeight="1" x14ac:dyDescent="0.35">
      <c r="B91" s="24" t="s">
        <v>182</v>
      </c>
      <c r="C91" s="24"/>
      <c r="D91" s="24"/>
      <c r="E91" s="3" t="s">
        <v>467</v>
      </c>
      <c r="F91" s="3"/>
      <c r="G91" s="3"/>
      <c r="H91" s="3"/>
      <c r="I91" s="3"/>
    </row>
    <row r="92" spans="2:9" ht="18" customHeight="1" x14ac:dyDescent="0.35">
      <c r="B92" s="24" t="s">
        <v>184</v>
      </c>
      <c r="C92" s="24"/>
      <c r="D92" s="24"/>
      <c r="E92" s="3" t="s">
        <v>468</v>
      </c>
      <c r="F92" s="3"/>
      <c r="G92" s="3"/>
      <c r="H92" s="3"/>
      <c r="I92" s="3"/>
    </row>
    <row r="94" spans="2:9" ht="15.75" customHeight="1" x14ac:dyDescent="0.35">
      <c r="B94" s="26" t="s">
        <v>469</v>
      </c>
      <c r="C94" s="26"/>
      <c r="D94" s="26"/>
      <c r="E94" s="26"/>
      <c r="F94" s="26"/>
      <c r="G94" s="26"/>
      <c r="H94" s="26"/>
      <c r="I94" s="26"/>
    </row>
  </sheetData>
  <mergeCells count="106">
    <mergeCell ref="B92:D92"/>
    <mergeCell ref="E92:I92"/>
    <mergeCell ref="B94:I94"/>
    <mergeCell ref="B87:I87"/>
    <mergeCell ref="B88:D88"/>
    <mergeCell ref="E88:I88"/>
    <mergeCell ref="B89:D89"/>
    <mergeCell ref="E89:I89"/>
    <mergeCell ref="B90:D90"/>
    <mergeCell ref="E90:I90"/>
    <mergeCell ref="B91:D91"/>
    <mergeCell ref="E91:I91"/>
    <mergeCell ref="B81:D81"/>
    <mergeCell ref="E81:I81"/>
    <mergeCell ref="B82:D82"/>
    <mergeCell ref="E82:I82"/>
    <mergeCell ref="B83:D83"/>
    <mergeCell ref="E83:I83"/>
    <mergeCell ref="B84:D84"/>
    <mergeCell ref="E84:I84"/>
    <mergeCell ref="B85:D85"/>
    <mergeCell ref="E85:I85"/>
    <mergeCell ref="B75:D75"/>
    <mergeCell ref="E75:I75"/>
    <mergeCell ref="B76:D76"/>
    <mergeCell ref="E76:I76"/>
    <mergeCell ref="B77:D77"/>
    <mergeCell ref="E77:I77"/>
    <mergeCell ref="B78:D78"/>
    <mergeCell ref="E78:I78"/>
    <mergeCell ref="B80:I80"/>
    <mergeCell ref="B69:D69"/>
    <mergeCell ref="E69:I69"/>
    <mergeCell ref="B70:D70"/>
    <mergeCell ref="E70:I70"/>
    <mergeCell ref="B71:D71"/>
    <mergeCell ref="E71:I71"/>
    <mergeCell ref="B73:I73"/>
    <mergeCell ref="B74:D74"/>
    <mergeCell ref="E74:I74"/>
    <mergeCell ref="B63:D63"/>
    <mergeCell ref="E63:I63"/>
    <mergeCell ref="B64:D64"/>
    <mergeCell ref="E64:I64"/>
    <mergeCell ref="B66:I66"/>
    <mergeCell ref="B67:D67"/>
    <mergeCell ref="E67:I67"/>
    <mergeCell ref="B68:D68"/>
    <mergeCell ref="E68:I68"/>
    <mergeCell ref="B57:I57"/>
    <mergeCell ref="B58:I58"/>
    <mergeCell ref="B59:I59"/>
    <mergeCell ref="B60:D60"/>
    <mergeCell ref="E60:I60"/>
    <mergeCell ref="B61:D61"/>
    <mergeCell ref="E61:I61"/>
    <mergeCell ref="B62:D62"/>
    <mergeCell ref="E62:I62"/>
    <mergeCell ref="B52:D52"/>
    <mergeCell ref="E52:I52"/>
    <mergeCell ref="B53:D53"/>
    <mergeCell ref="E53:I53"/>
    <mergeCell ref="B54:D54"/>
    <mergeCell ref="E54:I54"/>
    <mergeCell ref="B55:D55"/>
    <mergeCell ref="E55:I55"/>
    <mergeCell ref="E56:I56"/>
    <mergeCell ref="B47:D47"/>
    <mergeCell ref="E47:I47"/>
    <mergeCell ref="B48:D48"/>
    <mergeCell ref="E48:I48"/>
    <mergeCell ref="B49:D49"/>
    <mergeCell ref="E49:I49"/>
    <mergeCell ref="B50:D50"/>
    <mergeCell ref="E50:I50"/>
    <mergeCell ref="B51:D51"/>
    <mergeCell ref="E51:I51"/>
    <mergeCell ref="B42:D42"/>
    <mergeCell ref="E42:I42"/>
    <mergeCell ref="B43:D43"/>
    <mergeCell ref="E43:I43"/>
    <mergeCell ref="B44:D44"/>
    <mergeCell ref="E44:I44"/>
    <mergeCell ref="B45:D45"/>
    <mergeCell ref="E45:I45"/>
    <mergeCell ref="B46:D46"/>
    <mergeCell ref="E46:I46"/>
    <mergeCell ref="B24:I24"/>
    <mergeCell ref="B28:I28"/>
    <mergeCell ref="B32:I32"/>
    <mergeCell ref="B37:I37"/>
    <mergeCell ref="B38:I38"/>
    <mergeCell ref="E39:I39"/>
    <mergeCell ref="B40:D40"/>
    <mergeCell ref="E40:I40"/>
    <mergeCell ref="B41:D41"/>
    <mergeCell ref="E41:I41"/>
    <mergeCell ref="B2:I2"/>
    <mergeCell ref="B3:I3"/>
    <mergeCell ref="B5:I5"/>
    <mergeCell ref="B6:I6"/>
    <mergeCell ref="B17:I17"/>
    <mergeCell ref="B18:I18"/>
    <mergeCell ref="D19:F19"/>
    <mergeCell ref="G19:H19"/>
    <mergeCell ref="B20:I20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I94"/>
  <sheetViews>
    <sheetView showGridLines="0" zoomScaleNormal="100" workbookViewId="0">
      <selection activeCell="E71" sqref="E71:I71"/>
    </sheetView>
  </sheetViews>
  <sheetFormatPr defaultColWidth="8.6328125" defaultRowHeight="14.5" x14ac:dyDescent="0.35"/>
  <cols>
    <col min="1" max="1" width="3" customWidth="1"/>
    <col min="2" max="2" width="12" customWidth="1"/>
    <col min="3" max="3" width="6" customWidth="1"/>
    <col min="4" max="4" width="12.7265625" customWidth="1"/>
    <col min="5" max="5" width="63.453125" customWidth="1"/>
    <col min="6" max="6" width="28.81640625" customWidth="1"/>
    <col min="7" max="7" width="12" customWidth="1"/>
    <col min="8" max="8" width="56.81640625" customWidth="1"/>
    <col min="9" max="9" width="28.36328125" customWidth="1"/>
  </cols>
  <sheetData>
    <row r="1" spans="2:9" ht="13.5" customHeight="1" x14ac:dyDescent="0.35"/>
    <row r="2" spans="2:9" ht="33.75" customHeight="1" x14ac:dyDescent="0.35">
      <c r="B2" s="14" t="s">
        <v>470</v>
      </c>
      <c r="C2" s="14"/>
      <c r="D2" s="14"/>
      <c r="E2" s="14"/>
      <c r="F2" s="14"/>
      <c r="G2" s="14"/>
      <c r="H2" s="14"/>
      <c r="I2" s="14"/>
    </row>
    <row r="3" spans="2:9" ht="15.75" customHeight="1" x14ac:dyDescent="0.35">
      <c r="B3" s="13" t="s">
        <v>72</v>
      </c>
      <c r="C3" s="13"/>
      <c r="D3" s="13"/>
      <c r="E3" s="13"/>
      <c r="F3" s="13"/>
      <c r="G3" s="13"/>
      <c r="H3" s="13"/>
      <c r="I3" s="13"/>
    </row>
    <row r="5" spans="2:9" ht="21.75" customHeight="1" x14ac:dyDescent="0.35">
      <c r="B5" s="12" t="s">
        <v>73</v>
      </c>
      <c r="C5" s="12"/>
      <c r="D5" s="12"/>
      <c r="E5" s="12"/>
      <c r="F5" s="12"/>
      <c r="G5" s="12"/>
      <c r="H5" s="12"/>
      <c r="I5" s="12"/>
    </row>
    <row r="6" spans="2:9" ht="13.5" customHeight="1" x14ac:dyDescent="0.35">
      <c r="B6" s="11" t="s">
        <v>74</v>
      </c>
      <c r="C6" s="11"/>
      <c r="D6" s="11"/>
      <c r="E6" s="11"/>
      <c r="F6" s="11"/>
      <c r="G6" s="11"/>
      <c r="H6" s="11"/>
      <c r="I6" s="11"/>
    </row>
    <row r="7" spans="2:9" ht="19.5" customHeight="1" x14ac:dyDescent="0.35">
      <c r="B7" s="17" t="s">
        <v>75</v>
      </c>
      <c r="C7" s="17" t="s">
        <v>76</v>
      </c>
      <c r="D7" s="17" t="s">
        <v>77</v>
      </c>
      <c r="E7" s="17" t="s">
        <v>78</v>
      </c>
      <c r="F7" s="17" t="s">
        <v>79</v>
      </c>
      <c r="G7" s="17" t="s">
        <v>80</v>
      </c>
      <c r="H7" s="17" t="s">
        <v>81</v>
      </c>
      <c r="I7" s="17" t="s">
        <v>82</v>
      </c>
    </row>
    <row r="8" spans="2:9" ht="18" customHeight="1" x14ac:dyDescent="0.35">
      <c r="B8" s="15" t="s">
        <v>471</v>
      </c>
      <c r="C8" s="15" t="s">
        <v>54</v>
      </c>
      <c r="D8" s="15" t="s">
        <v>114</v>
      </c>
      <c r="E8" s="15" t="s">
        <v>472</v>
      </c>
      <c r="F8" s="15" t="s">
        <v>237</v>
      </c>
      <c r="G8" s="15" t="s">
        <v>93</v>
      </c>
      <c r="H8" s="15" t="s">
        <v>473</v>
      </c>
      <c r="I8" s="15" t="s">
        <v>474</v>
      </c>
    </row>
    <row r="9" spans="2:9" ht="18" customHeight="1" x14ac:dyDescent="0.35">
      <c r="B9" s="15" t="s">
        <v>471</v>
      </c>
      <c r="C9" s="15" t="s">
        <v>56</v>
      </c>
      <c r="D9" s="15" t="s">
        <v>84</v>
      </c>
      <c r="E9" s="15" t="s">
        <v>475</v>
      </c>
      <c r="F9" s="15" t="s">
        <v>252</v>
      </c>
      <c r="G9" s="15" t="s">
        <v>104</v>
      </c>
      <c r="H9" s="15" t="s">
        <v>476</v>
      </c>
      <c r="I9" s="15" t="s">
        <v>477</v>
      </c>
    </row>
    <row r="10" spans="2:9" ht="18" customHeight="1" x14ac:dyDescent="0.35">
      <c r="B10" s="15" t="s">
        <v>478</v>
      </c>
      <c r="C10" s="15" t="s">
        <v>57</v>
      </c>
      <c r="D10" s="15" t="s">
        <v>114</v>
      </c>
      <c r="E10" s="15" t="s">
        <v>479</v>
      </c>
      <c r="F10" s="15" t="s">
        <v>304</v>
      </c>
      <c r="G10" s="15" t="s">
        <v>104</v>
      </c>
      <c r="H10" s="15" t="s">
        <v>480</v>
      </c>
      <c r="I10" s="15" t="s">
        <v>481</v>
      </c>
    </row>
    <row r="11" spans="2:9" ht="18" customHeight="1" x14ac:dyDescent="0.35">
      <c r="B11" s="15" t="s">
        <v>482</v>
      </c>
      <c r="C11" s="15" t="s">
        <v>52</v>
      </c>
      <c r="D11" s="15" t="s">
        <v>84</v>
      </c>
      <c r="E11" s="15" t="s">
        <v>483</v>
      </c>
      <c r="F11" s="15" t="s">
        <v>484</v>
      </c>
      <c r="G11" s="15" t="s">
        <v>87</v>
      </c>
      <c r="H11" s="15" t="s">
        <v>485</v>
      </c>
      <c r="I11" s="15" t="s">
        <v>486</v>
      </c>
    </row>
    <row r="12" spans="2:9" ht="18" customHeight="1" x14ac:dyDescent="0.35">
      <c r="B12" s="15" t="s">
        <v>482</v>
      </c>
      <c r="C12" s="15" t="s">
        <v>58</v>
      </c>
      <c r="D12" s="15" t="s">
        <v>108</v>
      </c>
      <c r="E12" s="15" t="s">
        <v>487</v>
      </c>
      <c r="F12" s="15" t="s">
        <v>488</v>
      </c>
      <c r="G12" s="15" t="s">
        <v>87</v>
      </c>
      <c r="H12" s="15" t="s">
        <v>489</v>
      </c>
      <c r="I12" s="15" t="s">
        <v>490</v>
      </c>
    </row>
    <row r="13" spans="2:9" ht="18" customHeight="1" x14ac:dyDescent="0.35">
      <c r="B13" s="15" t="s">
        <v>491</v>
      </c>
      <c r="C13" s="15" t="s">
        <v>56</v>
      </c>
      <c r="D13" s="15" t="s">
        <v>114</v>
      </c>
      <c r="E13" s="15" t="s">
        <v>492</v>
      </c>
      <c r="F13" s="15" t="s">
        <v>409</v>
      </c>
      <c r="G13" s="15" t="s">
        <v>104</v>
      </c>
      <c r="H13" s="15" t="s">
        <v>493</v>
      </c>
      <c r="I13" s="15" t="s">
        <v>494</v>
      </c>
    </row>
    <row r="14" spans="2:9" ht="18" customHeight="1" x14ac:dyDescent="0.35">
      <c r="B14" s="15"/>
      <c r="C14" s="15"/>
      <c r="D14" s="15"/>
      <c r="E14" s="15"/>
      <c r="F14" s="15"/>
      <c r="G14" s="15"/>
      <c r="H14" s="15"/>
      <c r="I14" s="15"/>
    </row>
    <row r="15" spans="2:9" ht="18" customHeight="1" x14ac:dyDescent="0.35">
      <c r="B15" s="15"/>
      <c r="C15" s="15"/>
      <c r="D15" s="15"/>
      <c r="E15" s="15"/>
      <c r="F15" s="15"/>
      <c r="G15" s="15"/>
      <c r="H15" s="15"/>
      <c r="I15" s="15"/>
    </row>
    <row r="17" spans="2:9" ht="21.75" customHeight="1" x14ac:dyDescent="0.35">
      <c r="B17" s="10" t="s">
        <v>119</v>
      </c>
      <c r="C17" s="10"/>
      <c r="D17" s="10"/>
      <c r="E17" s="10"/>
      <c r="F17" s="10"/>
      <c r="G17" s="10"/>
      <c r="H17" s="10"/>
      <c r="I17" s="10"/>
    </row>
    <row r="18" spans="2:9" ht="13.5" customHeight="1" x14ac:dyDescent="0.35">
      <c r="B18" s="11" t="s">
        <v>31</v>
      </c>
      <c r="C18" s="11"/>
      <c r="D18" s="11"/>
      <c r="E18" s="11"/>
      <c r="F18" s="11"/>
      <c r="G18" s="11"/>
      <c r="H18" s="11"/>
      <c r="I18" s="11"/>
    </row>
    <row r="19" spans="2:9" ht="19.5" customHeight="1" x14ac:dyDescent="0.35">
      <c r="B19" s="21" t="s">
        <v>120</v>
      </c>
      <c r="C19" s="21" t="s">
        <v>76</v>
      </c>
      <c r="D19" s="9" t="s">
        <v>121</v>
      </c>
      <c r="E19" s="9"/>
      <c r="F19" s="9"/>
      <c r="G19" s="9" t="s">
        <v>122</v>
      </c>
      <c r="H19" s="9"/>
      <c r="I19" s="21" t="s">
        <v>51</v>
      </c>
    </row>
    <row r="20" spans="2:9" ht="15.75" customHeight="1" x14ac:dyDescent="0.35">
      <c r="B20" s="8" t="s">
        <v>123</v>
      </c>
      <c r="C20" s="8"/>
      <c r="D20" s="8"/>
      <c r="E20" s="8"/>
      <c r="F20" s="8"/>
      <c r="G20" s="8"/>
      <c r="H20" s="8"/>
      <c r="I20" s="8"/>
    </row>
    <row r="21" spans="2:9" ht="18" customHeight="1" x14ac:dyDescent="0.35">
      <c r="B21" s="15"/>
      <c r="C21" s="15" t="s">
        <v>54</v>
      </c>
      <c r="D21" s="15" t="s">
        <v>495</v>
      </c>
      <c r="E21" s="15"/>
      <c r="F21" s="15"/>
      <c r="G21" s="15" t="s">
        <v>237</v>
      </c>
      <c r="H21" s="15"/>
      <c r="I21" s="15"/>
    </row>
    <row r="22" spans="2:9" ht="18" customHeight="1" x14ac:dyDescent="0.35">
      <c r="B22" s="15"/>
      <c r="C22" s="15" t="s">
        <v>56</v>
      </c>
      <c r="D22" s="15" t="s">
        <v>496</v>
      </c>
      <c r="E22" s="15"/>
      <c r="F22" s="15"/>
      <c r="G22" s="15" t="s">
        <v>409</v>
      </c>
      <c r="H22" s="15"/>
      <c r="I22" s="15"/>
    </row>
    <row r="23" spans="2:9" ht="18" customHeight="1" x14ac:dyDescent="0.35">
      <c r="B23" s="15"/>
      <c r="C23" s="15" t="s">
        <v>52</v>
      </c>
      <c r="D23" s="15" t="s">
        <v>497</v>
      </c>
      <c r="E23" s="15"/>
      <c r="F23" s="15"/>
      <c r="G23" s="15" t="s">
        <v>484</v>
      </c>
      <c r="H23" s="15"/>
      <c r="I23" s="15" t="s">
        <v>498</v>
      </c>
    </row>
    <row r="24" spans="2:9" ht="15.75" customHeight="1" x14ac:dyDescent="0.35">
      <c r="B24" s="8" t="s">
        <v>132</v>
      </c>
      <c r="C24" s="8"/>
      <c r="D24" s="8"/>
      <c r="E24" s="8"/>
      <c r="F24" s="8"/>
      <c r="G24" s="8"/>
      <c r="H24" s="8"/>
      <c r="I24" s="8"/>
    </row>
    <row r="25" spans="2:9" ht="18" customHeight="1" x14ac:dyDescent="0.35">
      <c r="B25" s="15"/>
      <c r="C25" s="15" t="s">
        <v>56</v>
      </c>
      <c r="D25" s="15" t="s">
        <v>499</v>
      </c>
      <c r="E25" s="15"/>
      <c r="F25" s="15"/>
      <c r="G25" s="15" t="s">
        <v>252</v>
      </c>
      <c r="H25" s="15"/>
      <c r="I25" s="15"/>
    </row>
    <row r="26" spans="2:9" ht="18" customHeight="1" x14ac:dyDescent="0.35">
      <c r="B26" s="15"/>
      <c r="C26" s="15" t="s">
        <v>57</v>
      </c>
      <c r="D26" s="15" t="s">
        <v>500</v>
      </c>
      <c r="E26" s="15"/>
      <c r="F26" s="15"/>
      <c r="G26" s="15" t="s">
        <v>304</v>
      </c>
      <c r="H26" s="15"/>
      <c r="I26" s="15"/>
    </row>
    <row r="27" spans="2:9" ht="18" customHeight="1" x14ac:dyDescent="0.35">
      <c r="B27" s="15"/>
      <c r="C27" s="15" t="s">
        <v>54</v>
      </c>
      <c r="D27" s="15" t="s">
        <v>501</v>
      </c>
      <c r="E27" s="15"/>
      <c r="F27" s="15"/>
      <c r="G27" s="15" t="s">
        <v>502</v>
      </c>
      <c r="H27" s="15"/>
      <c r="I27" s="15"/>
    </row>
    <row r="28" spans="2:9" ht="15.75" customHeight="1" x14ac:dyDescent="0.35">
      <c r="B28" s="8" t="s">
        <v>138</v>
      </c>
      <c r="C28" s="8"/>
      <c r="D28" s="8"/>
      <c r="E28" s="8"/>
      <c r="F28" s="8"/>
      <c r="G28" s="8"/>
      <c r="H28" s="8"/>
      <c r="I28" s="8"/>
    </row>
    <row r="29" spans="2:9" ht="18" customHeight="1" x14ac:dyDescent="0.35">
      <c r="B29" s="15"/>
      <c r="C29" s="15" t="s">
        <v>54</v>
      </c>
      <c r="D29" s="15" t="s">
        <v>503</v>
      </c>
      <c r="E29" s="15"/>
      <c r="F29" s="15"/>
      <c r="G29" s="15" t="s">
        <v>504</v>
      </c>
      <c r="H29" s="15"/>
      <c r="I29" s="15"/>
    </row>
    <row r="30" spans="2:9" ht="18" customHeight="1" x14ac:dyDescent="0.35">
      <c r="B30" s="15"/>
      <c r="C30" s="15" t="s">
        <v>57</v>
      </c>
      <c r="D30" s="15" t="s">
        <v>505</v>
      </c>
      <c r="E30" s="15"/>
      <c r="F30" s="15"/>
      <c r="G30" s="15" t="s">
        <v>304</v>
      </c>
      <c r="H30" s="15"/>
      <c r="I30" s="15"/>
    </row>
    <row r="31" spans="2:9" ht="18" customHeight="1" x14ac:dyDescent="0.35">
      <c r="B31" s="15"/>
      <c r="C31" s="15"/>
      <c r="D31" s="15"/>
      <c r="E31" s="15"/>
      <c r="F31" s="15"/>
      <c r="G31" s="15"/>
      <c r="H31" s="15"/>
      <c r="I31" s="15"/>
    </row>
    <row r="32" spans="2:9" ht="15.75" customHeight="1" x14ac:dyDescent="0.35">
      <c r="B32" s="8" t="s">
        <v>143</v>
      </c>
      <c r="C32" s="8"/>
      <c r="D32" s="8"/>
      <c r="E32" s="8"/>
      <c r="F32" s="8"/>
      <c r="G32" s="8"/>
      <c r="H32" s="8"/>
      <c r="I32" s="8"/>
    </row>
    <row r="33" spans="2:9" ht="18" customHeight="1" x14ac:dyDescent="0.35">
      <c r="B33" s="15"/>
      <c r="C33" s="15" t="s">
        <v>58</v>
      </c>
      <c r="D33" s="15" t="s">
        <v>506</v>
      </c>
      <c r="E33" s="15"/>
      <c r="F33" s="15"/>
      <c r="G33" s="15" t="s">
        <v>329</v>
      </c>
      <c r="H33" s="15"/>
      <c r="I33" s="15"/>
    </row>
    <row r="34" spans="2:9" ht="18" customHeight="1" x14ac:dyDescent="0.35">
      <c r="B34" s="15"/>
      <c r="C34" s="15"/>
      <c r="D34" s="15"/>
      <c r="E34" s="15"/>
      <c r="F34" s="15"/>
      <c r="G34" s="15"/>
      <c r="H34" s="15"/>
      <c r="I34" s="15"/>
    </row>
    <row r="35" spans="2:9" ht="18" customHeight="1" x14ac:dyDescent="0.35">
      <c r="B35" s="15"/>
      <c r="C35" s="15"/>
      <c r="D35" s="15"/>
      <c r="E35" s="15"/>
      <c r="F35" s="15"/>
      <c r="G35" s="15"/>
      <c r="H35" s="15"/>
      <c r="I35" s="15"/>
    </row>
    <row r="37" spans="2:9" ht="21.75" customHeight="1" x14ac:dyDescent="0.35">
      <c r="B37" s="7" t="s">
        <v>144</v>
      </c>
      <c r="C37" s="7"/>
      <c r="D37" s="7"/>
      <c r="E37" s="7"/>
      <c r="F37" s="7"/>
      <c r="G37" s="7"/>
      <c r="H37" s="7"/>
      <c r="I37" s="7"/>
    </row>
    <row r="38" spans="2:9" ht="13.5" customHeight="1" x14ac:dyDescent="0.35">
      <c r="B38" s="11" t="s">
        <v>145</v>
      </c>
      <c r="C38" s="11"/>
      <c r="D38" s="11"/>
      <c r="E38" s="11"/>
      <c r="F38" s="11"/>
      <c r="G38" s="11"/>
      <c r="H38" s="11"/>
      <c r="I38" s="11"/>
    </row>
    <row r="39" spans="2:9" ht="19.5" customHeight="1" x14ac:dyDescent="0.35">
      <c r="B39" s="22" t="s">
        <v>146</v>
      </c>
      <c r="C39" s="22" t="s">
        <v>147</v>
      </c>
      <c r="D39" s="22" t="s">
        <v>148</v>
      </c>
      <c r="E39" s="6" t="s">
        <v>149</v>
      </c>
      <c r="F39" s="6"/>
      <c r="G39" s="6"/>
      <c r="H39" s="6"/>
      <c r="I39" s="6"/>
    </row>
    <row r="40" spans="2:9" ht="21.75" customHeight="1" x14ac:dyDescent="0.35">
      <c r="B40" s="5" t="s">
        <v>507</v>
      </c>
      <c r="C40" s="5"/>
      <c r="D40" s="5"/>
      <c r="E40" s="4" t="s">
        <v>508</v>
      </c>
      <c r="F40" s="4"/>
      <c r="G40" s="4"/>
      <c r="H40" s="4"/>
      <c r="I40" s="4"/>
    </row>
    <row r="41" spans="2:9" ht="21.75" customHeight="1" x14ac:dyDescent="0.35">
      <c r="B41" s="3" t="s">
        <v>152</v>
      </c>
      <c r="C41" s="3"/>
      <c r="D41" s="3"/>
      <c r="E41" s="4" t="s">
        <v>509</v>
      </c>
      <c r="F41" s="4"/>
      <c r="G41" s="4"/>
      <c r="H41" s="4"/>
      <c r="I41" s="4"/>
    </row>
    <row r="42" spans="2:9" ht="21.75" customHeight="1" x14ac:dyDescent="0.35">
      <c r="B42" s="3" t="s">
        <v>154</v>
      </c>
      <c r="C42" s="3"/>
      <c r="D42" s="3"/>
      <c r="E42" s="4" t="s">
        <v>510</v>
      </c>
      <c r="F42" s="4"/>
      <c r="G42" s="4"/>
      <c r="H42" s="4"/>
      <c r="I42" s="4"/>
    </row>
    <row r="43" spans="2:9" ht="21.75" customHeight="1" x14ac:dyDescent="0.35">
      <c r="B43" s="3" t="s">
        <v>156</v>
      </c>
      <c r="C43" s="3"/>
      <c r="D43" s="3"/>
      <c r="E43" s="4" t="s">
        <v>511</v>
      </c>
      <c r="F43" s="4"/>
      <c r="G43" s="4"/>
      <c r="H43" s="4"/>
      <c r="I43" s="4"/>
    </row>
    <row r="44" spans="2:9" ht="21.75" customHeight="1" x14ac:dyDescent="0.35">
      <c r="B44" s="5" t="s">
        <v>512</v>
      </c>
      <c r="C44" s="5"/>
      <c r="D44" s="5"/>
      <c r="E44" s="4" t="s">
        <v>513</v>
      </c>
      <c r="F44" s="4"/>
      <c r="G44" s="4"/>
      <c r="H44" s="4"/>
      <c r="I44" s="4"/>
    </row>
    <row r="45" spans="2:9" ht="21.75" customHeight="1" x14ac:dyDescent="0.35">
      <c r="B45" s="3" t="s">
        <v>152</v>
      </c>
      <c r="C45" s="3"/>
      <c r="D45" s="3"/>
      <c r="E45" s="4" t="s">
        <v>514</v>
      </c>
      <c r="F45" s="4"/>
      <c r="G45" s="4"/>
      <c r="H45" s="4"/>
      <c r="I45" s="4"/>
    </row>
    <row r="46" spans="2:9" ht="21.75" customHeight="1" x14ac:dyDescent="0.35">
      <c r="B46" s="3" t="s">
        <v>154</v>
      </c>
      <c r="C46" s="3"/>
      <c r="D46" s="3"/>
      <c r="E46" s="4" t="s">
        <v>515</v>
      </c>
      <c r="F46" s="4"/>
      <c r="G46" s="4"/>
      <c r="H46" s="4"/>
      <c r="I46" s="4"/>
    </row>
    <row r="47" spans="2:9" ht="21.75" customHeight="1" x14ac:dyDescent="0.35">
      <c r="B47" s="3" t="s">
        <v>156</v>
      </c>
      <c r="C47" s="3"/>
      <c r="D47" s="3"/>
      <c r="E47" s="4" t="s">
        <v>516</v>
      </c>
      <c r="F47" s="4"/>
      <c r="G47" s="4"/>
      <c r="H47" s="4"/>
      <c r="I47" s="4"/>
    </row>
    <row r="48" spans="2:9" ht="21.75" customHeight="1" x14ac:dyDescent="0.35">
      <c r="B48" s="5" t="s">
        <v>517</v>
      </c>
      <c r="C48" s="5"/>
      <c r="D48" s="5"/>
      <c r="E48" s="4" t="s">
        <v>518</v>
      </c>
      <c r="F48" s="4"/>
      <c r="G48" s="4"/>
      <c r="H48" s="4"/>
      <c r="I48" s="4"/>
    </row>
    <row r="49" spans="2:9" ht="21.75" customHeight="1" x14ac:dyDescent="0.35">
      <c r="B49" s="3" t="s">
        <v>152</v>
      </c>
      <c r="C49" s="3"/>
      <c r="D49" s="3"/>
      <c r="E49" s="4" t="s">
        <v>519</v>
      </c>
      <c r="F49" s="4"/>
      <c r="G49" s="4"/>
      <c r="H49" s="4"/>
      <c r="I49" s="4"/>
    </row>
    <row r="50" spans="2:9" ht="21.75" customHeight="1" x14ac:dyDescent="0.35">
      <c r="B50" s="3" t="s">
        <v>154</v>
      </c>
      <c r="C50" s="3"/>
      <c r="D50" s="3"/>
      <c r="E50" s="4" t="s">
        <v>520</v>
      </c>
      <c r="F50" s="4"/>
      <c r="G50" s="4"/>
      <c r="H50" s="4"/>
      <c r="I50" s="4"/>
    </row>
    <row r="51" spans="2:9" ht="21.75" customHeight="1" x14ac:dyDescent="0.35">
      <c r="B51" s="3" t="s">
        <v>156</v>
      </c>
      <c r="C51" s="3"/>
      <c r="D51" s="3"/>
      <c r="E51" s="4" t="s">
        <v>521</v>
      </c>
      <c r="F51" s="4"/>
      <c r="G51" s="4"/>
      <c r="H51" s="4"/>
      <c r="I51" s="4"/>
    </row>
    <row r="52" spans="2:9" ht="21.75" customHeight="1" x14ac:dyDescent="0.35">
      <c r="B52" s="5" t="s">
        <v>168</v>
      </c>
      <c r="C52" s="5"/>
      <c r="D52" s="5"/>
      <c r="E52" s="4" t="s">
        <v>522</v>
      </c>
      <c r="F52" s="4"/>
      <c r="G52" s="4"/>
      <c r="H52" s="4"/>
      <c r="I52" s="4"/>
    </row>
    <row r="53" spans="2:9" ht="21.75" customHeight="1" x14ac:dyDescent="0.35">
      <c r="B53" s="3" t="s">
        <v>152</v>
      </c>
      <c r="C53" s="3"/>
      <c r="D53" s="3"/>
      <c r="E53" s="4" t="s">
        <v>523</v>
      </c>
      <c r="F53" s="4"/>
      <c r="G53" s="4"/>
      <c r="H53" s="4"/>
      <c r="I53" s="4"/>
    </row>
    <row r="54" spans="2:9" ht="21.75" customHeight="1" x14ac:dyDescent="0.35">
      <c r="B54" s="3" t="s">
        <v>154</v>
      </c>
      <c r="C54" s="3"/>
      <c r="D54" s="3"/>
      <c r="E54" s="4" t="s">
        <v>524</v>
      </c>
      <c r="F54" s="4"/>
      <c r="G54" s="4"/>
      <c r="H54" s="4"/>
      <c r="I54" s="4"/>
    </row>
    <row r="55" spans="2:9" ht="21.75" customHeight="1" x14ac:dyDescent="0.35">
      <c r="B55" s="3" t="s">
        <v>156</v>
      </c>
      <c r="C55" s="3"/>
      <c r="D55" s="3"/>
      <c r="E55" s="4" t="s">
        <v>525</v>
      </c>
      <c r="F55" s="4"/>
      <c r="G55" s="4"/>
      <c r="H55" s="4"/>
      <c r="I55" s="4"/>
    </row>
    <row r="56" spans="2:9" x14ac:dyDescent="0.35">
      <c r="E56" s="4"/>
      <c r="F56" s="4"/>
      <c r="G56" s="4"/>
      <c r="H56" s="4"/>
      <c r="I56" s="4"/>
    </row>
    <row r="57" spans="2:9" ht="21.75" customHeight="1" x14ac:dyDescent="0.35">
      <c r="B57" s="2" t="s">
        <v>173</v>
      </c>
      <c r="C57" s="2"/>
      <c r="D57" s="2"/>
      <c r="E57" s="2"/>
      <c r="F57" s="2"/>
      <c r="G57" s="2"/>
      <c r="H57" s="2"/>
      <c r="I57" s="2"/>
    </row>
    <row r="58" spans="2:9" ht="13.5" customHeight="1" x14ac:dyDescent="0.35">
      <c r="B58" s="11" t="s">
        <v>174</v>
      </c>
      <c r="C58" s="11"/>
      <c r="D58" s="11"/>
      <c r="E58" s="11"/>
      <c r="F58" s="11"/>
      <c r="G58" s="11"/>
      <c r="H58" s="11"/>
      <c r="I58" s="11"/>
    </row>
    <row r="59" spans="2:9" ht="18" customHeight="1" x14ac:dyDescent="0.35">
      <c r="B59" s="1" t="s">
        <v>175</v>
      </c>
      <c r="C59" s="1"/>
      <c r="D59" s="1"/>
      <c r="E59" s="1"/>
      <c r="F59" s="1"/>
      <c r="G59" s="1"/>
      <c r="H59" s="1"/>
      <c r="I59" s="1"/>
    </row>
    <row r="60" spans="2:9" ht="18" customHeight="1" x14ac:dyDescent="0.35">
      <c r="B60" s="24" t="s">
        <v>176</v>
      </c>
      <c r="C60" s="24"/>
      <c r="D60" s="24"/>
      <c r="E60" s="25" t="s">
        <v>526</v>
      </c>
      <c r="F60" s="25"/>
      <c r="G60" s="25"/>
      <c r="H60" s="25"/>
      <c r="I60" s="25"/>
    </row>
    <row r="61" spans="2:9" ht="18" customHeight="1" x14ac:dyDescent="0.35">
      <c r="B61" s="24" t="s">
        <v>178</v>
      </c>
      <c r="C61" s="24"/>
      <c r="D61" s="24"/>
      <c r="E61" s="25" t="s">
        <v>527</v>
      </c>
      <c r="F61" s="25"/>
      <c r="G61" s="25"/>
      <c r="H61" s="25"/>
      <c r="I61" s="25"/>
    </row>
    <row r="62" spans="2:9" ht="18" customHeight="1" x14ac:dyDescent="0.35">
      <c r="B62" s="24" t="s">
        <v>180</v>
      </c>
      <c r="C62" s="24"/>
      <c r="D62" s="24"/>
      <c r="E62" s="25" t="s">
        <v>528</v>
      </c>
      <c r="F62" s="25"/>
      <c r="G62" s="25"/>
      <c r="H62" s="25"/>
      <c r="I62" s="25"/>
    </row>
    <row r="63" spans="2:9" ht="18" customHeight="1" x14ac:dyDescent="0.35">
      <c r="B63" s="24" t="s">
        <v>182</v>
      </c>
      <c r="C63" s="24"/>
      <c r="D63" s="24"/>
      <c r="E63" s="25" t="s">
        <v>529</v>
      </c>
      <c r="F63" s="25"/>
      <c r="G63" s="25"/>
      <c r="H63" s="25"/>
      <c r="I63" s="25"/>
    </row>
    <row r="64" spans="2:9" ht="18" customHeight="1" x14ac:dyDescent="0.35">
      <c r="B64" s="24" t="s">
        <v>184</v>
      </c>
      <c r="C64" s="24"/>
      <c r="D64" s="24"/>
      <c r="E64" s="25" t="s">
        <v>530</v>
      </c>
      <c r="F64" s="25"/>
      <c r="G64" s="25"/>
      <c r="H64" s="25"/>
      <c r="I64" s="25"/>
    </row>
    <row r="66" spans="2:9" ht="18" customHeight="1" x14ac:dyDescent="0.35">
      <c r="B66" s="1" t="s">
        <v>186</v>
      </c>
      <c r="C66" s="1"/>
      <c r="D66" s="1"/>
      <c r="E66" s="1"/>
      <c r="F66" s="1"/>
      <c r="G66" s="1"/>
      <c r="H66" s="1"/>
      <c r="I66" s="1"/>
    </row>
    <row r="67" spans="2:9" ht="18" customHeight="1" x14ac:dyDescent="0.35">
      <c r="B67" s="24" t="s">
        <v>176</v>
      </c>
      <c r="C67" s="24"/>
      <c r="D67" s="24"/>
      <c r="E67" s="25" t="s">
        <v>531</v>
      </c>
      <c r="F67" s="25"/>
      <c r="G67" s="25"/>
      <c r="H67" s="25"/>
      <c r="I67" s="25"/>
    </row>
    <row r="68" spans="2:9" ht="18" customHeight="1" x14ac:dyDescent="0.35">
      <c r="B68" s="24" t="s">
        <v>178</v>
      </c>
      <c r="C68" s="24"/>
      <c r="D68" s="24"/>
      <c r="E68" s="25" t="s">
        <v>532</v>
      </c>
      <c r="F68" s="25"/>
      <c r="G68" s="25"/>
      <c r="H68" s="25"/>
      <c r="I68" s="25"/>
    </row>
    <row r="69" spans="2:9" ht="18" customHeight="1" x14ac:dyDescent="0.35">
      <c r="B69" s="24" t="s">
        <v>180</v>
      </c>
      <c r="C69" s="24"/>
      <c r="D69" s="24"/>
      <c r="E69" s="25" t="s">
        <v>533</v>
      </c>
      <c r="F69" s="25"/>
      <c r="G69" s="25"/>
      <c r="H69" s="25"/>
      <c r="I69" s="25"/>
    </row>
    <row r="70" spans="2:9" ht="18" customHeight="1" x14ac:dyDescent="0.35">
      <c r="B70" s="24" t="s">
        <v>182</v>
      </c>
      <c r="C70" s="24"/>
      <c r="D70" s="24"/>
      <c r="E70" s="25" t="s">
        <v>534</v>
      </c>
      <c r="F70" s="25"/>
      <c r="G70" s="25"/>
      <c r="H70" s="25"/>
      <c r="I70" s="25"/>
    </row>
    <row r="71" spans="2:9" ht="18" customHeight="1" x14ac:dyDescent="0.35">
      <c r="B71" s="24" t="s">
        <v>184</v>
      </c>
      <c r="C71" s="24"/>
      <c r="D71" s="24"/>
      <c r="E71" s="25" t="s">
        <v>535</v>
      </c>
      <c r="F71" s="25"/>
      <c r="G71" s="25"/>
      <c r="H71" s="25"/>
      <c r="I71" s="25"/>
    </row>
    <row r="73" spans="2:9" ht="18" customHeight="1" x14ac:dyDescent="0.35">
      <c r="B73" s="1" t="s">
        <v>192</v>
      </c>
      <c r="C73" s="1"/>
      <c r="D73" s="1"/>
      <c r="E73" s="1"/>
      <c r="F73" s="1"/>
      <c r="G73" s="1"/>
      <c r="H73" s="1"/>
      <c r="I73" s="1"/>
    </row>
    <row r="74" spans="2:9" ht="18" customHeight="1" x14ac:dyDescent="0.35">
      <c r="B74" s="24" t="s">
        <v>176</v>
      </c>
      <c r="C74" s="24"/>
      <c r="D74" s="24"/>
      <c r="E74" s="3" t="s">
        <v>536</v>
      </c>
      <c r="F74" s="3"/>
      <c r="G74" s="3"/>
      <c r="H74" s="3"/>
      <c r="I74" s="3"/>
    </row>
    <row r="75" spans="2:9" ht="18" customHeight="1" x14ac:dyDescent="0.35">
      <c r="B75" s="24" t="s">
        <v>178</v>
      </c>
      <c r="C75" s="24"/>
      <c r="D75" s="24"/>
      <c r="E75" s="3" t="s">
        <v>537</v>
      </c>
      <c r="F75" s="3"/>
      <c r="G75" s="3"/>
      <c r="H75" s="3"/>
      <c r="I75" s="3"/>
    </row>
    <row r="76" spans="2:9" ht="18" customHeight="1" x14ac:dyDescent="0.35">
      <c r="B76" s="24" t="s">
        <v>180</v>
      </c>
      <c r="C76" s="24"/>
      <c r="D76" s="24"/>
      <c r="E76" s="3" t="s">
        <v>538</v>
      </c>
      <c r="F76" s="3"/>
      <c r="G76" s="3"/>
      <c r="H76" s="3"/>
      <c r="I76" s="3"/>
    </row>
    <row r="77" spans="2:9" ht="18" customHeight="1" x14ac:dyDescent="0.35">
      <c r="B77" s="24" t="s">
        <v>182</v>
      </c>
      <c r="C77" s="24"/>
      <c r="D77" s="24"/>
      <c r="E77" s="3" t="s">
        <v>539</v>
      </c>
      <c r="F77" s="3"/>
      <c r="G77" s="3"/>
      <c r="H77" s="3"/>
      <c r="I77" s="3"/>
    </row>
    <row r="78" spans="2:9" ht="18" customHeight="1" x14ac:dyDescent="0.35">
      <c r="B78" s="24" t="s">
        <v>184</v>
      </c>
      <c r="C78" s="24"/>
      <c r="D78" s="24"/>
      <c r="E78" s="3" t="s">
        <v>540</v>
      </c>
      <c r="F78" s="3"/>
      <c r="G78" s="3"/>
      <c r="H78" s="3"/>
      <c r="I78" s="3"/>
    </row>
    <row r="80" spans="2:9" ht="18" customHeight="1" x14ac:dyDescent="0.35">
      <c r="B80" s="1" t="s">
        <v>198</v>
      </c>
      <c r="C80" s="1"/>
      <c r="D80" s="1"/>
      <c r="E80" s="1"/>
      <c r="F80" s="1"/>
      <c r="G80" s="1"/>
      <c r="H80" s="1"/>
      <c r="I80" s="1"/>
    </row>
    <row r="81" spans="2:9" ht="18" customHeight="1" x14ac:dyDescent="0.35">
      <c r="B81" s="24" t="s">
        <v>176</v>
      </c>
      <c r="C81" s="24"/>
      <c r="D81" s="24"/>
      <c r="E81" s="3" t="s">
        <v>541</v>
      </c>
      <c r="F81" s="3"/>
      <c r="G81" s="3"/>
      <c r="H81" s="3"/>
      <c r="I81" s="3"/>
    </row>
    <row r="82" spans="2:9" ht="18" customHeight="1" x14ac:dyDescent="0.35">
      <c r="B82" s="24" t="s">
        <v>178</v>
      </c>
      <c r="C82" s="24"/>
      <c r="D82" s="24"/>
      <c r="E82" s="3" t="s">
        <v>542</v>
      </c>
      <c r="F82" s="3"/>
      <c r="G82" s="3"/>
      <c r="H82" s="3"/>
      <c r="I82" s="3"/>
    </row>
    <row r="83" spans="2:9" ht="18" customHeight="1" x14ac:dyDescent="0.35">
      <c r="B83" s="24" t="s">
        <v>180</v>
      </c>
      <c r="C83" s="24"/>
      <c r="D83" s="24"/>
      <c r="E83" s="3" t="s">
        <v>543</v>
      </c>
      <c r="F83" s="3"/>
      <c r="G83" s="3"/>
      <c r="H83" s="3"/>
      <c r="I83" s="3"/>
    </row>
    <row r="84" spans="2:9" ht="18" customHeight="1" x14ac:dyDescent="0.35">
      <c r="B84" s="24" t="s">
        <v>182</v>
      </c>
      <c r="C84" s="24"/>
      <c r="D84" s="24"/>
      <c r="E84" s="3" t="s">
        <v>544</v>
      </c>
      <c r="F84" s="3"/>
      <c r="G84" s="3"/>
      <c r="H84" s="3"/>
      <c r="I84" s="3"/>
    </row>
    <row r="85" spans="2:9" ht="18" customHeight="1" x14ac:dyDescent="0.35">
      <c r="B85" s="24" t="s">
        <v>184</v>
      </c>
      <c r="C85" s="24"/>
      <c r="D85" s="24"/>
      <c r="E85" s="3" t="s">
        <v>545</v>
      </c>
      <c r="F85" s="3"/>
      <c r="G85" s="3"/>
      <c r="H85" s="3"/>
      <c r="I85" s="3"/>
    </row>
    <row r="87" spans="2:9" ht="18" customHeight="1" x14ac:dyDescent="0.35">
      <c r="B87" s="1" t="s">
        <v>204</v>
      </c>
      <c r="C87" s="1"/>
      <c r="D87" s="1"/>
      <c r="E87" s="1"/>
      <c r="F87" s="1"/>
      <c r="G87" s="1"/>
      <c r="H87" s="1"/>
      <c r="I87" s="1"/>
    </row>
    <row r="88" spans="2:9" ht="18" customHeight="1" x14ac:dyDescent="0.35">
      <c r="B88" s="24" t="s">
        <v>176</v>
      </c>
      <c r="C88" s="24"/>
      <c r="D88" s="24"/>
      <c r="E88" s="3" t="s">
        <v>546</v>
      </c>
      <c r="F88" s="3"/>
      <c r="G88" s="3"/>
      <c r="H88" s="3"/>
      <c r="I88" s="3"/>
    </row>
    <row r="89" spans="2:9" ht="18" customHeight="1" x14ac:dyDescent="0.35">
      <c r="B89" s="24" t="s">
        <v>178</v>
      </c>
      <c r="C89" s="24"/>
      <c r="D89" s="24"/>
      <c r="E89" s="3" t="s">
        <v>547</v>
      </c>
      <c r="F89" s="3"/>
      <c r="G89" s="3"/>
      <c r="H89" s="3"/>
      <c r="I89" s="3"/>
    </row>
    <row r="90" spans="2:9" ht="18" customHeight="1" x14ac:dyDescent="0.35">
      <c r="B90" s="24" t="s">
        <v>180</v>
      </c>
      <c r="C90" s="24"/>
      <c r="D90" s="24"/>
      <c r="E90" s="3" t="s">
        <v>548</v>
      </c>
      <c r="F90" s="3"/>
      <c r="G90" s="3"/>
      <c r="H90" s="3"/>
      <c r="I90" s="3"/>
    </row>
    <row r="91" spans="2:9" ht="18" customHeight="1" x14ac:dyDescent="0.35">
      <c r="B91" s="24" t="s">
        <v>182</v>
      </c>
      <c r="C91" s="24"/>
      <c r="D91" s="24"/>
      <c r="E91" s="3" t="s">
        <v>549</v>
      </c>
      <c r="F91" s="3"/>
      <c r="G91" s="3"/>
      <c r="H91" s="3"/>
      <c r="I91" s="3"/>
    </row>
    <row r="92" spans="2:9" ht="18" customHeight="1" x14ac:dyDescent="0.35">
      <c r="B92" s="24" t="s">
        <v>184</v>
      </c>
      <c r="C92" s="24"/>
      <c r="D92" s="24"/>
      <c r="E92" s="3" t="s">
        <v>550</v>
      </c>
      <c r="F92" s="3"/>
      <c r="G92" s="3"/>
      <c r="H92" s="3"/>
      <c r="I92" s="3"/>
    </row>
    <row r="94" spans="2:9" ht="15.75" customHeight="1" x14ac:dyDescent="0.35">
      <c r="B94" s="26" t="s">
        <v>551</v>
      </c>
      <c r="C94" s="26"/>
      <c r="D94" s="26"/>
      <c r="E94" s="26"/>
      <c r="F94" s="26"/>
      <c r="G94" s="26"/>
      <c r="H94" s="26"/>
      <c r="I94" s="26"/>
    </row>
  </sheetData>
  <mergeCells count="106">
    <mergeCell ref="B92:D92"/>
    <mergeCell ref="E92:I92"/>
    <mergeCell ref="B94:I94"/>
    <mergeCell ref="B87:I87"/>
    <mergeCell ref="B88:D88"/>
    <mergeCell ref="E88:I88"/>
    <mergeCell ref="B89:D89"/>
    <mergeCell ref="E89:I89"/>
    <mergeCell ref="B90:D90"/>
    <mergeCell ref="E90:I90"/>
    <mergeCell ref="B91:D91"/>
    <mergeCell ref="E91:I91"/>
    <mergeCell ref="B81:D81"/>
    <mergeCell ref="E81:I81"/>
    <mergeCell ref="B82:D82"/>
    <mergeCell ref="E82:I82"/>
    <mergeCell ref="B83:D83"/>
    <mergeCell ref="E83:I83"/>
    <mergeCell ref="B84:D84"/>
    <mergeCell ref="E84:I84"/>
    <mergeCell ref="B85:D85"/>
    <mergeCell ref="E85:I85"/>
    <mergeCell ref="B75:D75"/>
    <mergeCell ref="E75:I75"/>
    <mergeCell ref="B76:D76"/>
    <mergeCell ref="E76:I76"/>
    <mergeCell ref="B77:D77"/>
    <mergeCell ref="E77:I77"/>
    <mergeCell ref="B78:D78"/>
    <mergeCell ref="E78:I78"/>
    <mergeCell ref="B80:I80"/>
    <mergeCell ref="B69:D69"/>
    <mergeCell ref="E69:I69"/>
    <mergeCell ref="B70:D70"/>
    <mergeCell ref="E70:I70"/>
    <mergeCell ref="B71:D71"/>
    <mergeCell ref="E71:I71"/>
    <mergeCell ref="B73:I73"/>
    <mergeCell ref="B74:D74"/>
    <mergeCell ref="E74:I74"/>
    <mergeCell ref="B63:D63"/>
    <mergeCell ref="E63:I63"/>
    <mergeCell ref="B64:D64"/>
    <mergeCell ref="E64:I64"/>
    <mergeCell ref="B66:I66"/>
    <mergeCell ref="B67:D67"/>
    <mergeCell ref="E67:I67"/>
    <mergeCell ref="B68:D68"/>
    <mergeCell ref="E68:I68"/>
    <mergeCell ref="B57:I57"/>
    <mergeCell ref="B58:I58"/>
    <mergeCell ref="B59:I59"/>
    <mergeCell ref="B60:D60"/>
    <mergeCell ref="E60:I60"/>
    <mergeCell ref="B61:D61"/>
    <mergeCell ref="E61:I61"/>
    <mergeCell ref="B62:D62"/>
    <mergeCell ref="E62:I62"/>
    <mergeCell ref="B52:D52"/>
    <mergeCell ref="E52:I52"/>
    <mergeCell ref="B53:D53"/>
    <mergeCell ref="E53:I53"/>
    <mergeCell ref="B54:D54"/>
    <mergeCell ref="E54:I54"/>
    <mergeCell ref="B55:D55"/>
    <mergeCell ref="E55:I55"/>
    <mergeCell ref="E56:I56"/>
    <mergeCell ref="B47:D47"/>
    <mergeCell ref="E47:I47"/>
    <mergeCell ref="B48:D48"/>
    <mergeCell ref="E48:I48"/>
    <mergeCell ref="B49:D49"/>
    <mergeCell ref="E49:I49"/>
    <mergeCell ref="B50:D50"/>
    <mergeCell ref="E50:I50"/>
    <mergeCell ref="B51:D51"/>
    <mergeCell ref="E51:I51"/>
    <mergeCell ref="B42:D42"/>
    <mergeCell ref="E42:I42"/>
    <mergeCell ref="B43:D43"/>
    <mergeCell ref="E43:I43"/>
    <mergeCell ref="B44:D44"/>
    <mergeCell ref="E44:I44"/>
    <mergeCell ref="B45:D45"/>
    <mergeCell ref="E45:I45"/>
    <mergeCell ref="B46:D46"/>
    <mergeCell ref="E46:I46"/>
    <mergeCell ref="B24:I24"/>
    <mergeCell ref="B28:I28"/>
    <mergeCell ref="B32:I32"/>
    <mergeCell ref="B37:I37"/>
    <mergeCell ref="B38:I38"/>
    <mergeCell ref="E39:I39"/>
    <mergeCell ref="B40:D40"/>
    <mergeCell ref="E40:I40"/>
    <mergeCell ref="B41:D41"/>
    <mergeCell ref="E41:I41"/>
    <mergeCell ref="B2:I2"/>
    <mergeCell ref="B3:I3"/>
    <mergeCell ref="B5:I5"/>
    <mergeCell ref="B6:I6"/>
    <mergeCell ref="B17:I17"/>
    <mergeCell ref="B18:I18"/>
    <mergeCell ref="D19:F19"/>
    <mergeCell ref="G19:H19"/>
    <mergeCell ref="B20:I20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I94"/>
  <sheetViews>
    <sheetView showGridLines="0" zoomScaleNormal="100" workbookViewId="0">
      <selection activeCell="E71" sqref="E71:I71"/>
    </sheetView>
  </sheetViews>
  <sheetFormatPr defaultColWidth="8.6328125" defaultRowHeight="14.5" x14ac:dyDescent="0.35"/>
  <cols>
    <col min="1" max="1" width="3" customWidth="1"/>
    <col min="2" max="2" width="12" customWidth="1"/>
    <col min="3" max="3" width="6" customWidth="1"/>
    <col min="4" max="4" width="51.6328125" bestFit="1" customWidth="1"/>
    <col min="5" max="5" width="56.6328125" customWidth="1"/>
    <col min="6" max="6" width="29.36328125" customWidth="1"/>
    <col min="7" max="7" width="12" customWidth="1"/>
    <col min="8" max="8" width="60.26953125" customWidth="1"/>
    <col min="9" max="9" width="31" customWidth="1"/>
  </cols>
  <sheetData>
    <row r="1" spans="2:9" ht="13.5" customHeight="1" x14ac:dyDescent="0.35"/>
    <row r="2" spans="2:9" ht="33.75" customHeight="1" x14ac:dyDescent="0.35">
      <c r="B2" s="14" t="s">
        <v>552</v>
      </c>
      <c r="C2" s="14"/>
      <c r="D2" s="14"/>
      <c r="E2" s="14"/>
      <c r="F2" s="14"/>
      <c r="G2" s="14"/>
      <c r="H2" s="14"/>
      <c r="I2" s="14"/>
    </row>
    <row r="3" spans="2:9" ht="15.75" customHeight="1" x14ac:dyDescent="0.35">
      <c r="B3" s="13" t="s">
        <v>72</v>
      </c>
      <c r="C3" s="13"/>
      <c r="D3" s="13"/>
      <c r="E3" s="13"/>
      <c r="F3" s="13"/>
      <c r="G3" s="13"/>
      <c r="H3" s="13"/>
      <c r="I3" s="13"/>
    </row>
    <row r="5" spans="2:9" ht="21.75" customHeight="1" x14ac:dyDescent="0.35">
      <c r="B5" s="12" t="s">
        <v>73</v>
      </c>
      <c r="C5" s="12"/>
      <c r="D5" s="12"/>
      <c r="E5" s="12"/>
      <c r="F5" s="12"/>
      <c r="G5" s="12"/>
      <c r="H5" s="12"/>
      <c r="I5" s="12"/>
    </row>
    <row r="6" spans="2:9" ht="13.5" customHeight="1" x14ac:dyDescent="0.35">
      <c r="B6" s="11" t="s">
        <v>74</v>
      </c>
      <c r="C6" s="11"/>
      <c r="D6" s="11"/>
      <c r="E6" s="11"/>
      <c r="F6" s="11"/>
      <c r="G6" s="11"/>
      <c r="H6" s="11"/>
      <c r="I6" s="11"/>
    </row>
    <row r="7" spans="2:9" ht="19.5" customHeight="1" x14ac:dyDescent="0.35">
      <c r="B7" s="17" t="s">
        <v>75</v>
      </c>
      <c r="C7" s="17" t="s">
        <v>76</v>
      </c>
      <c r="D7" s="17" t="s">
        <v>77</v>
      </c>
      <c r="E7" s="17" t="s">
        <v>78</v>
      </c>
      <c r="F7" s="17" t="s">
        <v>79</v>
      </c>
      <c r="G7" s="17" t="s">
        <v>80</v>
      </c>
      <c r="H7" s="17" t="s">
        <v>81</v>
      </c>
      <c r="I7" s="17" t="s">
        <v>82</v>
      </c>
    </row>
    <row r="8" spans="2:9" ht="18" customHeight="1" x14ac:dyDescent="0.35">
      <c r="B8" s="15" t="s">
        <v>553</v>
      </c>
      <c r="C8" s="15" t="s">
        <v>52</v>
      </c>
      <c r="D8" s="15" t="s">
        <v>84</v>
      </c>
      <c r="E8" s="15" t="s">
        <v>554</v>
      </c>
      <c r="F8" s="15" t="s">
        <v>248</v>
      </c>
      <c r="G8" s="15" t="s">
        <v>104</v>
      </c>
      <c r="H8" s="15" t="s">
        <v>555</v>
      </c>
      <c r="I8" s="15" t="s">
        <v>556</v>
      </c>
    </row>
    <row r="9" spans="2:9" ht="18" customHeight="1" x14ac:dyDescent="0.35">
      <c r="B9" s="15" t="s">
        <v>553</v>
      </c>
      <c r="C9" s="15" t="s">
        <v>54</v>
      </c>
      <c r="D9" s="15" t="s">
        <v>114</v>
      </c>
      <c r="E9" s="15" t="s">
        <v>557</v>
      </c>
      <c r="F9" s="15" t="s">
        <v>237</v>
      </c>
      <c r="G9" s="15" t="s">
        <v>104</v>
      </c>
      <c r="H9" s="15" t="s">
        <v>558</v>
      </c>
      <c r="I9" s="15" t="s">
        <v>559</v>
      </c>
    </row>
    <row r="10" spans="2:9" ht="18" customHeight="1" x14ac:dyDescent="0.35">
      <c r="B10" s="15" t="s">
        <v>560</v>
      </c>
      <c r="C10" s="15" t="s">
        <v>56</v>
      </c>
      <c r="D10" s="15" t="s">
        <v>84</v>
      </c>
      <c r="E10" s="15" t="s">
        <v>561</v>
      </c>
      <c r="F10" s="15" t="s">
        <v>562</v>
      </c>
      <c r="G10" s="15" t="s">
        <v>93</v>
      </c>
      <c r="H10" s="15" t="s">
        <v>563</v>
      </c>
      <c r="I10" s="15" t="s">
        <v>564</v>
      </c>
    </row>
    <row r="11" spans="2:9" ht="18" customHeight="1" x14ac:dyDescent="0.35">
      <c r="B11" s="15" t="s">
        <v>560</v>
      </c>
      <c r="C11" s="15" t="s">
        <v>57</v>
      </c>
      <c r="D11" s="15" t="s">
        <v>108</v>
      </c>
      <c r="E11" s="15" t="s">
        <v>565</v>
      </c>
      <c r="F11" s="15" t="s">
        <v>566</v>
      </c>
      <c r="G11" s="15" t="s">
        <v>93</v>
      </c>
      <c r="H11" s="15" t="s">
        <v>567</v>
      </c>
      <c r="I11" s="15" t="s">
        <v>568</v>
      </c>
    </row>
    <row r="12" spans="2:9" ht="18" customHeight="1" x14ac:dyDescent="0.35">
      <c r="B12" s="15" t="s">
        <v>569</v>
      </c>
      <c r="C12" s="15" t="s">
        <v>58</v>
      </c>
      <c r="D12" s="15" t="s">
        <v>84</v>
      </c>
      <c r="E12" s="15" t="s">
        <v>570</v>
      </c>
      <c r="F12" s="15" t="s">
        <v>571</v>
      </c>
      <c r="G12" s="15" t="s">
        <v>87</v>
      </c>
      <c r="H12" s="15" t="s">
        <v>572</v>
      </c>
      <c r="I12" s="15" t="s">
        <v>573</v>
      </c>
    </row>
    <row r="13" spans="2:9" ht="18" customHeight="1" x14ac:dyDescent="0.35">
      <c r="B13" s="15" t="s">
        <v>574</v>
      </c>
      <c r="C13" s="15" t="s">
        <v>54</v>
      </c>
      <c r="D13" s="15" t="s">
        <v>84</v>
      </c>
      <c r="E13" s="15" t="s">
        <v>575</v>
      </c>
      <c r="F13" s="15" t="s">
        <v>576</v>
      </c>
      <c r="G13" s="15" t="s">
        <v>104</v>
      </c>
      <c r="H13" s="15" t="s">
        <v>577</v>
      </c>
      <c r="I13" s="15" t="s">
        <v>578</v>
      </c>
    </row>
    <row r="14" spans="2:9" ht="18" customHeight="1" x14ac:dyDescent="0.35">
      <c r="B14" s="15"/>
      <c r="C14" s="15"/>
      <c r="D14" s="15"/>
      <c r="E14" s="15"/>
      <c r="F14" s="15"/>
      <c r="G14" s="15"/>
      <c r="H14" s="15"/>
      <c r="I14" s="15"/>
    </row>
    <row r="15" spans="2:9" ht="18" customHeight="1" x14ac:dyDescent="0.35">
      <c r="B15" s="15"/>
      <c r="C15" s="15"/>
      <c r="D15" s="15"/>
      <c r="E15" s="15"/>
      <c r="F15" s="15"/>
      <c r="G15" s="15"/>
      <c r="H15" s="15"/>
      <c r="I15" s="15"/>
    </row>
    <row r="17" spans="2:9" ht="21.75" customHeight="1" x14ac:dyDescent="0.35">
      <c r="B17" s="10" t="s">
        <v>119</v>
      </c>
      <c r="C17" s="10"/>
      <c r="D17" s="10"/>
      <c r="E17" s="10"/>
      <c r="F17" s="10"/>
      <c r="G17" s="10"/>
      <c r="H17" s="10"/>
      <c r="I17" s="10"/>
    </row>
    <row r="18" spans="2:9" ht="13.5" customHeight="1" x14ac:dyDescent="0.35">
      <c r="B18" s="11" t="s">
        <v>31</v>
      </c>
      <c r="C18" s="11"/>
      <c r="D18" s="11"/>
      <c r="E18" s="11"/>
      <c r="F18" s="11"/>
      <c r="G18" s="11"/>
      <c r="H18" s="11"/>
      <c r="I18" s="11"/>
    </row>
    <row r="19" spans="2:9" ht="19.5" customHeight="1" x14ac:dyDescent="0.35">
      <c r="B19" s="21" t="s">
        <v>120</v>
      </c>
      <c r="C19" s="21" t="s">
        <v>76</v>
      </c>
      <c r="D19" s="9" t="s">
        <v>121</v>
      </c>
      <c r="E19" s="9"/>
      <c r="F19" s="9"/>
      <c r="G19" s="9" t="s">
        <v>122</v>
      </c>
      <c r="H19" s="9"/>
      <c r="I19" s="21" t="s">
        <v>51</v>
      </c>
    </row>
    <row r="20" spans="2:9" ht="15.75" customHeight="1" x14ac:dyDescent="0.35">
      <c r="B20" s="8" t="s">
        <v>123</v>
      </c>
      <c r="C20" s="8"/>
      <c r="D20" s="8"/>
      <c r="E20" s="8"/>
      <c r="F20" s="8"/>
      <c r="G20" s="8"/>
      <c r="H20" s="8"/>
      <c r="I20" s="8"/>
    </row>
    <row r="21" spans="2:9" ht="18" customHeight="1" x14ac:dyDescent="0.35">
      <c r="B21" s="15"/>
      <c r="C21" s="15" t="s">
        <v>52</v>
      </c>
      <c r="D21" s="15" t="s">
        <v>579</v>
      </c>
      <c r="E21" s="15"/>
      <c r="F21" s="15"/>
      <c r="G21" s="15" t="s">
        <v>248</v>
      </c>
      <c r="H21" s="15"/>
      <c r="I21" s="15" t="s">
        <v>580</v>
      </c>
    </row>
    <row r="22" spans="2:9" ht="18" customHeight="1" x14ac:dyDescent="0.35">
      <c r="B22" s="15"/>
      <c r="C22" s="15" t="s">
        <v>56</v>
      </c>
      <c r="D22" s="15" t="s">
        <v>581</v>
      </c>
      <c r="E22" s="15"/>
      <c r="F22" s="15"/>
      <c r="G22" s="15" t="s">
        <v>562</v>
      </c>
      <c r="H22" s="15"/>
      <c r="I22" s="15"/>
    </row>
    <row r="23" spans="2:9" ht="18" customHeight="1" x14ac:dyDescent="0.35">
      <c r="B23" s="15"/>
      <c r="C23" s="15" t="s">
        <v>57</v>
      </c>
      <c r="D23" s="15" t="s">
        <v>582</v>
      </c>
      <c r="E23" s="15"/>
      <c r="F23" s="15"/>
      <c r="G23" s="15" t="s">
        <v>583</v>
      </c>
      <c r="H23" s="15"/>
      <c r="I23" s="15"/>
    </row>
    <row r="24" spans="2:9" ht="15.75" customHeight="1" x14ac:dyDescent="0.35">
      <c r="B24" s="8" t="s">
        <v>132</v>
      </c>
      <c r="C24" s="8"/>
      <c r="D24" s="8"/>
      <c r="E24" s="8"/>
      <c r="F24" s="8"/>
      <c r="G24" s="8"/>
      <c r="H24" s="8"/>
      <c r="I24" s="8"/>
    </row>
    <row r="25" spans="2:9" ht="18" customHeight="1" x14ac:dyDescent="0.35">
      <c r="B25" s="15"/>
      <c r="C25" s="15" t="s">
        <v>54</v>
      </c>
      <c r="D25" s="15" t="s">
        <v>584</v>
      </c>
      <c r="E25" s="15"/>
      <c r="F25" s="15"/>
      <c r="G25" s="15" t="s">
        <v>237</v>
      </c>
      <c r="H25" s="15"/>
      <c r="I25" s="15"/>
    </row>
    <row r="26" spans="2:9" ht="18" customHeight="1" x14ac:dyDescent="0.35">
      <c r="B26" s="15"/>
      <c r="C26" s="15" t="s">
        <v>58</v>
      </c>
      <c r="D26" s="15" t="s">
        <v>585</v>
      </c>
      <c r="E26" s="15"/>
      <c r="F26" s="15"/>
      <c r="G26" s="15" t="s">
        <v>571</v>
      </c>
      <c r="H26" s="15"/>
      <c r="I26" s="15"/>
    </row>
    <row r="27" spans="2:9" ht="18" customHeight="1" x14ac:dyDescent="0.35">
      <c r="B27" s="15"/>
      <c r="C27" s="15" t="s">
        <v>56</v>
      </c>
      <c r="D27" s="15" t="s">
        <v>586</v>
      </c>
      <c r="E27" s="15"/>
      <c r="F27" s="15"/>
      <c r="G27" s="15" t="s">
        <v>587</v>
      </c>
      <c r="H27" s="15"/>
      <c r="I27" s="15"/>
    </row>
    <row r="28" spans="2:9" ht="15.75" customHeight="1" x14ac:dyDescent="0.35">
      <c r="B28" s="8" t="s">
        <v>138</v>
      </c>
      <c r="C28" s="8"/>
      <c r="D28" s="8"/>
      <c r="E28" s="8"/>
      <c r="F28" s="8"/>
      <c r="G28" s="8"/>
      <c r="H28" s="8"/>
      <c r="I28" s="8"/>
    </row>
    <row r="29" spans="2:9" ht="18" customHeight="1" x14ac:dyDescent="0.35">
      <c r="B29" s="15"/>
      <c r="C29" s="15" t="s">
        <v>56</v>
      </c>
      <c r="D29" s="15" t="s">
        <v>588</v>
      </c>
      <c r="E29" s="15"/>
      <c r="F29" s="15"/>
      <c r="G29" s="15" t="s">
        <v>562</v>
      </c>
      <c r="H29" s="15"/>
      <c r="I29" s="15" t="s">
        <v>589</v>
      </c>
    </row>
    <row r="30" spans="2:9" ht="18" customHeight="1" x14ac:dyDescent="0.35">
      <c r="B30" s="15"/>
      <c r="C30" s="15" t="s">
        <v>54</v>
      </c>
      <c r="D30" s="15" t="s">
        <v>590</v>
      </c>
      <c r="E30" s="15"/>
      <c r="F30" s="15"/>
      <c r="G30" s="15" t="s">
        <v>576</v>
      </c>
      <c r="H30" s="15"/>
      <c r="I30" s="15" t="s">
        <v>591</v>
      </c>
    </row>
    <row r="31" spans="2:9" ht="18" customHeight="1" x14ac:dyDescent="0.35">
      <c r="B31" s="15"/>
      <c r="C31" s="15"/>
      <c r="D31" s="15"/>
      <c r="E31" s="15"/>
      <c r="F31" s="15"/>
      <c r="G31" s="15"/>
      <c r="H31" s="15"/>
      <c r="I31" s="15"/>
    </row>
    <row r="32" spans="2:9" ht="15.75" customHeight="1" x14ac:dyDescent="0.35">
      <c r="B32" s="8" t="s">
        <v>143</v>
      </c>
      <c r="C32" s="8"/>
      <c r="D32" s="8"/>
      <c r="E32" s="8"/>
      <c r="F32" s="8"/>
      <c r="G32" s="8"/>
      <c r="H32" s="8"/>
      <c r="I32" s="8"/>
    </row>
    <row r="33" spans="2:9" ht="18" customHeight="1" x14ac:dyDescent="0.35">
      <c r="B33" s="15"/>
      <c r="C33" s="15" t="s">
        <v>52</v>
      </c>
      <c r="D33" s="15" t="s">
        <v>592</v>
      </c>
      <c r="E33" s="15"/>
      <c r="F33" s="15"/>
      <c r="G33" s="15" t="s">
        <v>329</v>
      </c>
      <c r="H33" s="15"/>
      <c r="I33" s="15"/>
    </row>
    <row r="34" spans="2:9" ht="18" customHeight="1" x14ac:dyDescent="0.35">
      <c r="B34" s="15"/>
      <c r="C34" s="15"/>
      <c r="D34" s="15"/>
      <c r="E34" s="15"/>
      <c r="F34" s="15"/>
      <c r="G34" s="15"/>
      <c r="H34" s="15"/>
      <c r="I34" s="15"/>
    </row>
    <row r="35" spans="2:9" ht="18" customHeight="1" x14ac:dyDescent="0.35">
      <c r="B35" s="15"/>
      <c r="C35" s="15"/>
      <c r="D35" s="15"/>
      <c r="E35" s="15"/>
      <c r="F35" s="15"/>
      <c r="G35" s="15"/>
      <c r="H35" s="15"/>
      <c r="I35" s="15"/>
    </row>
    <row r="37" spans="2:9" ht="21.75" customHeight="1" x14ac:dyDescent="0.35">
      <c r="B37" s="7" t="s">
        <v>144</v>
      </c>
      <c r="C37" s="7"/>
      <c r="D37" s="7"/>
      <c r="E37" s="7"/>
      <c r="F37" s="7"/>
      <c r="G37" s="7"/>
      <c r="H37" s="7"/>
      <c r="I37" s="7"/>
    </row>
    <row r="38" spans="2:9" ht="13.5" customHeight="1" x14ac:dyDescent="0.35">
      <c r="B38" s="11" t="s">
        <v>145</v>
      </c>
      <c r="C38" s="11"/>
      <c r="D38" s="11"/>
      <c r="E38" s="11"/>
      <c r="F38" s="11"/>
      <c r="G38" s="11"/>
      <c r="H38" s="11"/>
      <c r="I38" s="11"/>
    </row>
    <row r="39" spans="2:9" ht="19.5" customHeight="1" x14ac:dyDescent="0.35">
      <c r="B39" s="22" t="s">
        <v>146</v>
      </c>
      <c r="C39" s="22" t="s">
        <v>147</v>
      </c>
      <c r="D39" s="22" t="s">
        <v>148</v>
      </c>
      <c r="E39" s="6" t="s">
        <v>149</v>
      </c>
      <c r="F39" s="6"/>
      <c r="G39" s="6"/>
      <c r="H39" s="6"/>
      <c r="I39" s="6"/>
    </row>
    <row r="40" spans="2:9" ht="21.75" customHeight="1" x14ac:dyDescent="0.35">
      <c r="B40" s="5" t="s">
        <v>593</v>
      </c>
      <c r="C40" s="5"/>
      <c r="D40" s="5"/>
      <c r="E40" s="4" t="s">
        <v>594</v>
      </c>
      <c r="F40" s="4"/>
      <c r="G40" s="4"/>
      <c r="H40" s="4"/>
      <c r="I40" s="4"/>
    </row>
    <row r="41" spans="2:9" ht="21.75" customHeight="1" x14ac:dyDescent="0.35">
      <c r="B41" s="3" t="s">
        <v>152</v>
      </c>
      <c r="C41" s="3"/>
      <c r="D41" s="3"/>
      <c r="E41" s="4" t="s">
        <v>595</v>
      </c>
      <c r="F41" s="4"/>
      <c r="G41" s="4"/>
      <c r="H41" s="4"/>
      <c r="I41" s="4"/>
    </row>
    <row r="42" spans="2:9" ht="21.75" customHeight="1" x14ac:dyDescent="0.35">
      <c r="B42" s="3" t="s">
        <v>154</v>
      </c>
      <c r="C42" s="3"/>
      <c r="D42" s="3"/>
      <c r="E42" s="4" t="s">
        <v>596</v>
      </c>
      <c r="F42" s="4"/>
      <c r="G42" s="4"/>
      <c r="H42" s="4"/>
      <c r="I42" s="4"/>
    </row>
    <row r="43" spans="2:9" ht="21.75" customHeight="1" x14ac:dyDescent="0.35">
      <c r="B43" s="3" t="s">
        <v>156</v>
      </c>
      <c r="C43" s="3"/>
      <c r="D43" s="3"/>
      <c r="E43" s="4" t="s">
        <v>597</v>
      </c>
      <c r="F43" s="4"/>
      <c r="G43" s="4"/>
      <c r="H43" s="4"/>
      <c r="I43" s="4"/>
    </row>
    <row r="44" spans="2:9" ht="21.75" customHeight="1" x14ac:dyDescent="0.35">
      <c r="B44" s="5" t="s">
        <v>512</v>
      </c>
      <c r="C44" s="5"/>
      <c r="D44" s="5"/>
      <c r="E44" s="4" t="s">
        <v>598</v>
      </c>
      <c r="F44" s="4"/>
      <c r="G44" s="4"/>
      <c r="H44" s="4"/>
      <c r="I44" s="4"/>
    </row>
    <row r="45" spans="2:9" ht="21.75" customHeight="1" x14ac:dyDescent="0.35">
      <c r="B45" s="3" t="s">
        <v>152</v>
      </c>
      <c r="C45" s="3"/>
      <c r="D45" s="3"/>
      <c r="E45" s="4" t="s">
        <v>599</v>
      </c>
      <c r="F45" s="4"/>
      <c r="G45" s="4"/>
      <c r="H45" s="4"/>
      <c r="I45" s="4"/>
    </row>
    <row r="46" spans="2:9" ht="21.75" customHeight="1" x14ac:dyDescent="0.35">
      <c r="B46" s="3" t="s">
        <v>154</v>
      </c>
      <c r="C46" s="3"/>
      <c r="D46" s="3"/>
      <c r="E46" s="4" t="s">
        <v>600</v>
      </c>
      <c r="F46" s="4"/>
      <c r="G46" s="4"/>
      <c r="H46" s="4"/>
      <c r="I46" s="4"/>
    </row>
    <row r="47" spans="2:9" ht="21.75" customHeight="1" x14ac:dyDescent="0.35">
      <c r="B47" s="3" t="s">
        <v>156</v>
      </c>
      <c r="C47" s="3"/>
      <c r="D47" s="3"/>
      <c r="E47" s="4" t="s">
        <v>601</v>
      </c>
      <c r="F47" s="4"/>
      <c r="G47" s="4"/>
      <c r="H47" s="4"/>
      <c r="I47" s="4"/>
    </row>
    <row r="48" spans="2:9" ht="21.75" customHeight="1" x14ac:dyDescent="0.35">
      <c r="B48" s="5" t="s">
        <v>602</v>
      </c>
      <c r="C48" s="5"/>
      <c r="D48" s="5"/>
      <c r="E48" s="4" t="s">
        <v>603</v>
      </c>
      <c r="F48" s="4"/>
      <c r="G48" s="4"/>
      <c r="H48" s="4"/>
      <c r="I48" s="4"/>
    </row>
    <row r="49" spans="2:9" ht="21.75" customHeight="1" x14ac:dyDescent="0.35">
      <c r="B49" s="3" t="s">
        <v>152</v>
      </c>
      <c r="C49" s="3"/>
      <c r="D49" s="3"/>
      <c r="E49" s="4" t="s">
        <v>604</v>
      </c>
      <c r="F49" s="4"/>
      <c r="G49" s="4"/>
      <c r="H49" s="4"/>
      <c r="I49" s="4"/>
    </row>
    <row r="50" spans="2:9" ht="21.75" customHeight="1" x14ac:dyDescent="0.35">
      <c r="B50" s="3" t="s">
        <v>154</v>
      </c>
      <c r="C50" s="3"/>
      <c r="D50" s="3"/>
      <c r="E50" s="4" t="s">
        <v>605</v>
      </c>
      <c r="F50" s="4"/>
      <c r="G50" s="4"/>
      <c r="H50" s="4"/>
      <c r="I50" s="4"/>
    </row>
    <row r="51" spans="2:9" ht="21.75" customHeight="1" x14ac:dyDescent="0.35">
      <c r="B51" s="3" t="s">
        <v>156</v>
      </c>
      <c r="C51" s="3"/>
      <c r="D51" s="3"/>
      <c r="E51" s="4" t="s">
        <v>606</v>
      </c>
      <c r="F51" s="4"/>
      <c r="G51" s="4"/>
      <c r="H51" s="4"/>
      <c r="I51" s="4"/>
    </row>
    <row r="52" spans="2:9" ht="21.75" customHeight="1" x14ac:dyDescent="0.35">
      <c r="B52" s="5" t="s">
        <v>607</v>
      </c>
      <c r="C52" s="5"/>
      <c r="D52" s="5"/>
      <c r="E52" s="4" t="s">
        <v>608</v>
      </c>
      <c r="F52" s="4"/>
      <c r="G52" s="4"/>
      <c r="H52" s="4"/>
      <c r="I52" s="4"/>
    </row>
    <row r="53" spans="2:9" ht="21.75" customHeight="1" x14ac:dyDescent="0.35">
      <c r="B53" s="3" t="s">
        <v>152</v>
      </c>
      <c r="C53" s="3"/>
      <c r="D53" s="3"/>
      <c r="E53" s="4" t="s">
        <v>609</v>
      </c>
      <c r="F53" s="4"/>
      <c r="G53" s="4"/>
      <c r="H53" s="4"/>
      <c r="I53" s="4"/>
    </row>
    <row r="54" spans="2:9" ht="21.75" customHeight="1" x14ac:dyDescent="0.35">
      <c r="B54" s="3" t="s">
        <v>154</v>
      </c>
      <c r="C54" s="3"/>
      <c r="D54" s="3"/>
      <c r="E54" s="4" t="s">
        <v>610</v>
      </c>
      <c r="F54" s="4"/>
      <c r="G54" s="4"/>
      <c r="H54" s="4"/>
      <c r="I54" s="4"/>
    </row>
    <row r="55" spans="2:9" ht="21.75" customHeight="1" x14ac:dyDescent="0.35">
      <c r="B55" s="3" t="s">
        <v>156</v>
      </c>
      <c r="C55" s="3"/>
      <c r="D55" s="3"/>
      <c r="E55" s="4" t="s">
        <v>611</v>
      </c>
      <c r="F55" s="4"/>
      <c r="G55" s="4"/>
      <c r="H55" s="4"/>
      <c r="I55" s="4"/>
    </row>
    <row r="56" spans="2:9" x14ac:dyDescent="0.35">
      <c r="E56" s="4"/>
      <c r="F56" s="4"/>
      <c r="G56" s="4"/>
      <c r="H56" s="4"/>
      <c r="I56" s="4"/>
    </row>
    <row r="57" spans="2:9" ht="21.75" customHeight="1" x14ac:dyDescent="0.35">
      <c r="B57" s="2" t="s">
        <v>173</v>
      </c>
      <c r="C57" s="2"/>
      <c r="D57" s="2"/>
      <c r="E57" s="2"/>
      <c r="F57" s="2"/>
      <c r="G57" s="2"/>
      <c r="H57" s="2"/>
      <c r="I57" s="2"/>
    </row>
    <row r="58" spans="2:9" ht="13.5" customHeight="1" x14ac:dyDescent="0.35">
      <c r="B58" s="11" t="s">
        <v>174</v>
      </c>
      <c r="C58" s="11"/>
      <c r="D58" s="11"/>
      <c r="E58" s="11"/>
      <c r="F58" s="11"/>
      <c r="G58" s="11"/>
      <c r="H58" s="11"/>
      <c r="I58" s="11"/>
    </row>
    <row r="59" spans="2:9" ht="18" customHeight="1" x14ac:dyDescent="0.35">
      <c r="B59" s="1" t="s">
        <v>175</v>
      </c>
      <c r="C59" s="1"/>
      <c r="D59" s="1"/>
      <c r="E59" s="1"/>
      <c r="F59" s="1"/>
      <c r="G59" s="1"/>
      <c r="H59" s="1"/>
      <c r="I59" s="1"/>
    </row>
    <row r="60" spans="2:9" ht="18" customHeight="1" x14ac:dyDescent="0.35">
      <c r="B60" s="24" t="s">
        <v>176</v>
      </c>
      <c r="C60" s="24"/>
      <c r="D60" s="24"/>
      <c r="E60" s="25" t="s">
        <v>612</v>
      </c>
      <c r="F60" s="25"/>
      <c r="G60" s="25"/>
      <c r="H60" s="25"/>
      <c r="I60" s="25"/>
    </row>
    <row r="61" spans="2:9" ht="18" customHeight="1" x14ac:dyDescent="0.35">
      <c r="B61" s="24" t="s">
        <v>178</v>
      </c>
      <c r="C61" s="24"/>
      <c r="D61" s="24"/>
      <c r="E61" s="25" t="s">
        <v>613</v>
      </c>
      <c r="F61" s="25"/>
      <c r="G61" s="25"/>
      <c r="H61" s="25"/>
      <c r="I61" s="25"/>
    </row>
    <row r="62" spans="2:9" ht="18" customHeight="1" x14ac:dyDescent="0.35">
      <c r="B62" s="24" t="s">
        <v>180</v>
      </c>
      <c r="C62" s="24"/>
      <c r="D62" s="24"/>
      <c r="E62" s="25" t="s">
        <v>614</v>
      </c>
      <c r="F62" s="25"/>
      <c r="G62" s="25"/>
      <c r="H62" s="25"/>
      <c r="I62" s="25"/>
    </row>
    <row r="63" spans="2:9" ht="18" customHeight="1" x14ac:dyDescent="0.35">
      <c r="B63" s="24" t="s">
        <v>182</v>
      </c>
      <c r="C63" s="24"/>
      <c r="D63" s="24"/>
      <c r="E63" s="25" t="s">
        <v>615</v>
      </c>
      <c r="F63" s="25"/>
      <c r="G63" s="25"/>
      <c r="H63" s="25"/>
      <c r="I63" s="25"/>
    </row>
    <row r="64" spans="2:9" ht="18" customHeight="1" x14ac:dyDescent="0.35">
      <c r="B64" s="24" t="s">
        <v>184</v>
      </c>
      <c r="C64" s="24"/>
      <c r="D64" s="24"/>
      <c r="E64" s="25" t="s">
        <v>616</v>
      </c>
      <c r="F64" s="25"/>
      <c r="G64" s="25"/>
      <c r="H64" s="25"/>
      <c r="I64" s="25"/>
    </row>
    <row r="66" spans="2:9" ht="18" customHeight="1" x14ac:dyDescent="0.35">
      <c r="B66" s="1" t="s">
        <v>186</v>
      </c>
      <c r="C66" s="1"/>
      <c r="D66" s="1"/>
      <c r="E66" s="1"/>
      <c r="F66" s="1"/>
      <c r="G66" s="1"/>
      <c r="H66" s="1"/>
      <c r="I66" s="1"/>
    </row>
    <row r="67" spans="2:9" ht="18" customHeight="1" x14ac:dyDescent="0.35">
      <c r="B67" s="24" t="s">
        <v>176</v>
      </c>
      <c r="C67" s="24"/>
      <c r="D67" s="24"/>
      <c r="E67" s="25" t="s">
        <v>617</v>
      </c>
      <c r="F67" s="25"/>
      <c r="G67" s="25"/>
      <c r="H67" s="25"/>
      <c r="I67" s="25"/>
    </row>
    <row r="68" spans="2:9" ht="18" customHeight="1" x14ac:dyDescent="0.35">
      <c r="B68" s="24" t="s">
        <v>178</v>
      </c>
      <c r="C68" s="24"/>
      <c r="D68" s="24"/>
      <c r="E68" s="25" t="s">
        <v>618</v>
      </c>
      <c r="F68" s="25"/>
      <c r="G68" s="25"/>
      <c r="H68" s="25"/>
      <c r="I68" s="25"/>
    </row>
    <row r="69" spans="2:9" ht="18" customHeight="1" x14ac:dyDescent="0.35">
      <c r="B69" s="24" t="s">
        <v>180</v>
      </c>
      <c r="C69" s="24"/>
      <c r="D69" s="24"/>
      <c r="E69" s="25" t="s">
        <v>619</v>
      </c>
      <c r="F69" s="25"/>
      <c r="G69" s="25"/>
      <c r="H69" s="25"/>
      <c r="I69" s="25"/>
    </row>
    <row r="70" spans="2:9" ht="18" customHeight="1" x14ac:dyDescent="0.35">
      <c r="B70" s="24" t="s">
        <v>182</v>
      </c>
      <c r="C70" s="24"/>
      <c r="D70" s="24"/>
      <c r="E70" s="25" t="s">
        <v>620</v>
      </c>
      <c r="F70" s="25"/>
      <c r="G70" s="25"/>
      <c r="H70" s="25"/>
      <c r="I70" s="25"/>
    </row>
    <row r="71" spans="2:9" ht="18" customHeight="1" x14ac:dyDescent="0.35">
      <c r="B71" s="24" t="s">
        <v>184</v>
      </c>
      <c r="C71" s="24"/>
      <c r="D71" s="24"/>
      <c r="E71" s="25" t="s">
        <v>621</v>
      </c>
      <c r="F71" s="25"/>
      <c r="G71" s="25"/>
      <c r="H71" s="25"/>
      <c r="I71" s="25"/>
    </row>
    <row r="73" spans="2:9" ht="18" customHeight="1" x14ac:dyDescent="0.35">
      <c r="B73" s="1" t="s">
        <v>192</v>
      </c>
      <c r="C73" s="1"/>
      <c r="D73" s="1"/>
      <c r="E73" s="1"/>
      <c r="F73" s="1"/>
      <c r="G73" s="1"/>
      <c r="H73" s="1"/>
      <c r="I73" s="1"/>
    </row>
    <row r="74" spans="2:9" ht="18" customHeight="1" x14ac:dyDescent="0.35">
      <c r="B74" s="24" t="s">
        <v>176</v>
      </c>
      <c r="C74" s="24"/>
      <c r="D74" s="24"/>
      <c r="E74" s="3" t="s">
        <v>622</v>
      </c>
      <c r="F74" s="3"/>
      <c r="G74" s="3"/>
      <c r="H74" s="3"/>
      <c r="I74" s="3"/>
    </row>
    <row r="75" spans="2:9" ht="18" customHeight="1" x14ac:dyDescent="0.35">
      <c r="B75" s="24" t="s">
        <v>178</v>
      </c>
      <c r="C75" s="24"/>
      <c r="D75" s="24"/>
      <c r="E75" s="3" t="s">
        <v>623</v>
      </c>
      <c r="F75" s="3"/>
      <c r="G75" s="3"/>
      <c r="H75" s="3"/>
      <c r="I75" s="3"/>
    </row>
    <row r="76" spans="2:9" ht="18" customHeight="1" x14ac:dyDescent="0.35">
      <c r="B76" s="24" t="s">
        <v>180</v>
      </c>
      <c r="C76" s="24"/>
      <c r="D76" s="24"/>
      <c r="E76" s="3" t="s">
        <v>624</v>
      </c>
      <c r="F76" s="3"/>
      <c r="G76" s="3"/>
      <c r="H76" s="3"/>
      <c r="I76" s="3"/>
    </row>
    <row r="77" spans="2:9" ht="18" customHeight="1" x14ac:dyDescent="0.35">
      <c r="B77" s="24" t="s">
        <v>182</v>
      </c>
      <c r="C77" s="24"/>
      <c r="D77" s="24"/>
      <c r="E77" s="3" t="s">
        <v>625</v>
      </c>
      <c r="F77" s="3"/>
      <c r="G77" s="3"/>
      <c r="H77" s="3"/>
      <c r="I77" s="3"/>
    </row>
    <row r="78" spans="2:9" ht="18" customHeight="1" x14ac:dyDescent="0.35">
      <c r="B78" s="24" t="s">
        <v>184</v>
      </c>
      <c r="C78" s="24"/>
      <c r="D78" s="24"/>
      <c r="E78" s="3" t="s">
        <v>626</v>
      </c>
      <c r="F78" s="3"/>
      <c r="G78" s="3"/>
      <c r="H78" s="3"/>
      <c r="I78" s="3"/>
    </row>
    <row r="80" spans="2:9" ht="18" customHeight="1" x14ac:dyDescent="0.35">
      <c r="B80" s="1" t="s">
        <v>198</v>
      </c>
      <c r="C80" s="1"/>
      <c r="D80" s="1"/>
      <c r="E80" s="1"/>
      <c r="F80" s="1"/>
      <c r="G80" s="1"/>
      <c r="H80" s="1"/>
      <c r="I80" s="1"/>
    </row>
    <row r="81" spans="2:9" ht="18" customHeight="1" x14ac:dyDescent="0.35">
      <c r="B81" s="24" t="s">
        <v>176</v>
      </c>
      <c r="C81" s="24"/>
      <c r="D81" s="24"/>
      <c r="E81" s="3" t="s">
        <v>627</v>
      </c>
      <c r="F81" s="3"/>
      <c r="G81" s="3"/>
      <c r="H81" s="3"/>
      <c r="I81" s="3"/>
    </row>
    <row r="82" spans="2:9" ht="18" customHeight="1" x14ac:dyDescent="0.35">
      <c r="B82" s="24" t="s">
        <v>178</v>
      </c>
      <c r="C82" s="24"/>
      <c r="D82" s="24"/>
      <c r="E82" s="3" t="s">
        <v>628</v>
      </c>
      <c r="F82" s="3"/>
      <c r="G82" s="3"/>
      <c r="H82" s="3"/>
      <c r="I82" s="3"/>
    </row>
    <row r="83" spans="2:9" ht="18" customHeight="1" x14ac:dyDescent="0.35">
      <c r="B83" s="24" t="s">
        <v>180</v>
      </c>
      <c r="C83" s="24"/>
      <c r="D83" s="24"/>
      <c r="E83" s="3" t="s">
        <v>629</v>
      </c>
      <c r="F83" s="3"/>
      <c r="G83" s="3"/>
      <c r="H83" s="3"/>
      <c r="I83" s="3"/>
    </row>
    <row r="84" spans="2:9" ht="18" customHeight="1" x14ac:dyDescent="0.35">
      <c r="B84" s="24" t="s">
        <v>182</v>
      </c>
      <c r="C84" s="24"/>
      <c r="D84" s="24"/>
      <c r="E84" s="3" t="s">
        <v>630</v>
      </c>
      <c r="F84" s="3"/>
      <c r="G84" s="3"/>
      <c r="H84" s="3"/>
      <c r="I84" s="3"/>
    </row>
    <row r="85" spans="2:9" ht="18" customHeight="1" x14ac:dyDescent="0.35">
      <c r="B85" s="24" t="s">
        <v>184</v>
      </c>
      <c r="C85" s="24"/>
      <c r="D85" s="24"/>
      <c r="E85" s="3" t="s">
        <v>631</v>
      </c>
      <c r="F85" s="3"/>
      <c r="G85" s="3"/>
      <c r="H85" s="3"/>
      <c r="I85" s="3"/>
    </row>
    <row r="87" spans="2:9" ht="18" customHeight="1" x14ac:dyDescent="0.35">
      <c r="B87" s="1" t="s">
        <v>204</v>
      </c>
      <c r="C87" s="1"/>
      <c r="D87" s="1"/>
      <c r="E87" s="1"/>
      <c r="F87" s="1"/>
      <c r="G87" s="1"/>
      <c r="H87" s="1"/>
      <c r="I87" s="1"/>
    </row>
    <row r="88" spans="2:9" ht="18" customHeight="1" x14ac:dyDescent="0.35">
      <c r="B88" s="24" t="s">
        <v>176</v>
      </c>
      <c r="C88" s="24"/>
      <c r="D88" s="24"/>
      <c r="E88" s="3" t="s">
        <v>632</v>
      </c>
      <c r="F88" s="3"/>
      <c r="G88" s="3"/>
      <c r="H88" s="3"/>
      <c r="I88" s="3"/>
    </row>
    <row r="89" spans="2:9" ht="18" customHeight="1" x14ac:dyDescent="0.35">
      <c r="B89" s="24" t="s">
        <v>178</v>
      </c>
      <c r="C89" s="24"/>
      <c r="D89" s="24"/>
      <c r="E89" s="3" t="s">
        <v>633</v>
      </c>
      <c r="F89" s="3"/>
      <c r="G89" s="3"/>
      <c r="H89" s="3"/>
      <c r="I89" s="3"/>
    </row>
    <row r="90" spans="2:9" ht="18" customHeight="1" x14ac:dyDescent="0.35">
      <c r="B90" s="24" t="s">
        <v>180</v>
      </c>
      <c r="C90" s="24"/>
      <c r="D90" s="24"/>
      <c r="E90" s="3" t="s">
        <v>634</v>
      </c>
      <c r="F90" s="3"/>
      <c r="G90" s="3"/>
      <c r="H90" s="3"/>
      <c r="I90" s="3"/>
    </row>
    <row r="91" spans="2:9" ht="18" customHeight="1" x14ac:dyDescent="0.35">
      <c r="B91" s="24" t="s">
        <v>182</v>
      </c>
      <c r="C91" s="24"/>
      <c r="D91" s="24"/>
      <c r="E91" s="3" t="s">
        <v>635</v>
      </c>
      <c r="F91" s="3"/>
      <c r="G91" s="3"/>
      <c r="H91" s="3"/>
      <c r="I91" s="3"/>
    </row>
    <row r="92" spans="2:9" ht="18" customHeight="1" x14ac:dyDescent="0.35">
      <c r="B92" s="24" t="s">
        <v>184</v>
      </c>
      <c r="C92" s="24"/>
      <c r="D92" s="24"/>
      <c r="E92" s="3" t="s">
        <v>636</v>
      </c>
      <c r="F92" s="3"/>
      <c r="G92" s="3"/>
      <c r="H92" s="3"/>
      <c r="I92" s="3"/>
    </row>
    <row r="94" spans="2:9" ht="15.75" customHeight="1" x14ac:dyDescent="0.35">
      <c r="B94" s="26" t="s">
        <v>637</v>
      </c>
      <c r="C94" s="26"/>
      <c r="D94" s="26"/>
      <c r="E94" s="26"/>
      <c r="F94" s="26"/>
      <c r="G94" s="26"/>
      <c r="H94" s="26"/>
      <c r="I94" s="26"/>
    </row>
  </sheetData>
  <mergeCells count="106">
    <mergeCell ref="B92:D92"/>
    <mergeCell ref="E92:I92"/>
    <mergeCell ref="B94:I94"/>
    <mergeCell ref="B87:I87"/>
    <mergeCell ref="B88:D88"/>
    <mergeCell ref="E88:I88"/>
    <mergeCell ref="B89:D89"/>
    <mergeCell ref="E89:I89"/>
    <mergeCell ref="B90:D90"/>
    <mergeCell ref="E90:I90"/>
    <mergeCell ref="B91:D91"/>
    <mergeCell ref="E91:I91"/>
    <mergeCell ref="B81:D81"/>
    <mergeCell ref="E81:I81"/>
    <mergeCell ref="B82:D82"/>
    <mergeCell ref="E82:I82"/>
    <mergeCell ref="B83:D83"/>
    <mergeCell ref="E83:I83"/>
    <mergeCell ref="B84:D84"/>
    <mergeCell ref="E84:I84"/>
    <mergeCell ref="B85:D85"/>
    <mergeCell ref="E85:I85"/>
    <mergeCell ref="B75:D75"/>
    <mergeCell ref="E75:I75"/>
    <mergeCell ref="B76:D76"/>
    <mergeCell ref="E76:I76"/>
    <mergeCell ref="B77:D77"/>
    <mergeCell ref="E77:I77"/>
    <mergeCell ref="B78:D78"/>
    <mergeCell ref="E78:I78"/>
    <mergeCell ref="B80:I80"/>
    <mergeCell ref="B69:D69"/>
    <mergeCell ref="E69:I69"/>
    <mergeCell ref="B70:D70"/>
    <mergeCell ref="E70:I70"/>
    <mergeCell ref="B71:D71"/>
    <mergeCell ref="E71:I71"/>
    <mergeCell ref="B73:I73"/>
    <mergeCell ref="B74:D74"/>
    <mergeCell ref="E74:I74"/>
    <mergeCell ref="B63:D63"/>
    <mergeCell ref="E63:I63"/>
    <mergeCell ref="B64:D64"/>
    <mergeCell ref="E64:I64"/>
    <mergeCell ref="B66:I66"/>
    <mergeCell ref="B67:D67"/>
    <mergeCell ref="E67:I67"/>
    <mergeCell ref="B68:D68"/>
    <mergeCell ref="E68:I68"/>
    <mergeCell ref="B57:I57"/>
    <mergeCell ref="B58:I58"/>
    <mergeCell ref="B59:I59"/>
    <mergeCell ref="B60:D60"/>
    <mergeCell ref="E60:I60"/>
    <mergeCell ref="B61:D61"/>
    <mergeCell ref="E61:I61"/>
    <mergeCell ref="B62:D62"/>
    <mergeCell ref="E62:I62"/>
    <mergeCell ref="B52:D52"/>
    <mergeCell ref="E52:I52"/>
    <mergeCell ref="B53:D53"/>
    <mergeCell ref="E53:I53"/>
    <mergeCell ref="B54:D54"/>
    <mergeCell ref="E54:I54"/>
    <mergeCell ref="B55:D55"/>
    <mergeCell ref="E55:I55"/>
    <mergeCell ref="E56:I56"/>
    <mergeCell ref="B47:D47"/>
    <mergeCell ref="E47:I47"/>
    <mergeCell ref="B48:D48"/>
    <mergeCell ref="E48:I48"/>
    <mergeCell ref="B49:D49"/>
    <mergeCell ref="E49:I49"/>
    <mergeCell ref="B50:D50"/>
    <mergeCell ref="E50:I50"/>
    <mergeCell ref="B51:D51"/>
    <mergeCell ref="E51:I51"/>
    <mergeCell ref="B42:D42"/>
    <mergeCell ref="E42:I42"/>
    <mergeCell ref="B43:D43"/>
    <mergeCell ref="E43:I43"/>
    <mergeCell ref="B44:D44"/>
    <mergeCell ref="E44:I44"/>
    <mergeCell ref="B45:D45"/>
    <mergeCell ref="E45:I45"/>
    <mergeCell ref="B46:D46"/>
    <mergeCell ref="E46:I46"/>
    <mergeCell ref="B24:I24"/>
    <mergeCell ref="B28:I28"/>
    <mergeCell ref="B32:I32"/>
    <mergeCell ref="B37:I37"/>
    <mergeCell ref="B38:I38"/>
    <mergeCell ref="E39:I39"/>
    <mergeCell ref="B40:D40"/>
    <mergeCell ref="E40:I40"/>
    <mergeCell ref="B41:D41"/>
    <mergeCell ref="E41:I41"/>
    <mergeCell ref="B2:I2"/>
    <mergeCell ref="B3:I3"/>
    <mergeCell ref="B5:I5"/>
    <mergeCell ref="B6:I6"/>
    <mergeCell ref="B17:I17"/>
    <mergeCell ref="B18:I18"/>
    <mergeCell ref="D19:F19"/>
    <mergeCell ref="G19:H19"/>
    <mergeCell ref="B20:I20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I94"/>
  <sheetViews>
    <sheetView showGridLines="0" topLeftCell="D30" zoomScaleNormal="100" workbookViewId="0">
      <selection activeCell="E71" sqref="E71:I71"/>
    </sheetView>
  </sheetViews>
  <sheetFormatPr defaultColWidth="8.6328125" defaultRowHeight="14.5" x14ac:dyDescent="0.35"/>
  <cols>
    <col min="1" max="1" width="3" customWidth="1"/>
    <col min="2" max="2" width="12" customWidth="1"/>
    <col min="3" max="3" width="6" customWidth="1"/>
    <col min="4" max="4" width="67.81640625" bestFit="1" customWidth="1"/>
    <col min="5" max="5" width="59.36328125" customWidth="1"/>
    <col min="6" max="6" width="20" customWidth="1"/>
    <col min="7" max="7" width="40.6328125" customWidth="1"/>
    <col min="8" max="8" width="56.81640625" customWidth="1"/>
    <col min="9" max="9" width="31.7265625" customWidth="1"/>
  </cols>
  <sheetData>
    <row r="1" spans="2:9" ht="13.5" customHeight="1" x14ac:dyDescent="0.35"/>
    <row r="2" spans="2:9" ht="33.75" customHeight="1" x14ac:dyDescent="0.35">
      <c r="B2" s="14" t="s">
        <v>638</v>
      </c>
      <c r="C2" s="14"/>
      <c r="D2" s="14"/>
      <c r="E2" s="14"/>
      <c r="F2" s="14"/>
      <c r="G2" s="14"/>
      <c r="H2" s="14"/>
      <c r="I2" s="14"/>
    </row>
    <row r="3" spans="2:9" ht="15.75" customHeight="1" x14ac:dyDescent="0.35">
      <c r="B3" s="13" t="s">
        <v>72</v>
      </c>
      <c r="C3" s="13"/>
      <c r="D3" s="13"/>
      <c r="E3" s="13"/>
      <c r="F3" s="13"/>
      <c r="G3" s="13"/>
      <c r="H3" s="13"/>
      <c r="I3" s="13"/>
    </row>
    <row r="5" spans="2:9" ht="21.75" customHeight="1" x14ac:dyDescent="0.35">
      <c r="B5" s="12" t="s">
        <v>73</v>
      </c>
      <c r="C5" s="12"/>
      <c r="D5" s="12"/>
      <c r="E5" s="12"/>
      <c r="F5" s="12"/>
      <c r="G5" s="12"/>
      <c r="H5" s="12"/>
      <c r="I5" s="12"/>
    </row>
    <row r="6" spans="2:9" ht="13.5" customHeight="1" x14ac:dyDescent="0.35">
      <c r="B6" s="11" t="s">
        <v>74</v>
      </c>
      <c r="C6" s="11"/>
      <c r="D6" s="11"/>
      <c r="E6" s="11"/>
      <c r="F6" s="11"/>
      <c r="G6" s="11"/>
      <c r="H6" s="11"/>
      <c r="I6" s="11"/>
    </row>
    <row r="7" spans="2:9" ht="19.5" customHeight="1" x14ac:dyDescent="0.35">
      <c r="B7" s="17" t="s">
        <v>75</v>
      </c>
      <c r="C7" s="17" t="s">
        <v>76</v>
      </c>
      <c r="D7" s="17" t="s">
        <v>77</v>
      </c>
      <c r="E7" s="17" t="s">
        <v>78</v>
      </c>
      <c r="F7" s="17" t="s">
        <v>79</v>
      </c>
      <c r="G7" s="17" t="s">
        <v>80</v>
      </c>
      <c r="H7" s="17" t="s">
        <v>81</v>
      </c>
      <c r="I7" s="17" t="s">
        <v>82</v>
      </c>
    </row>
    <row r="8" spans="2:9" ht="18" customHeight="1" x14ac:dyDescent="0.35">
      <c r="B8" s="15" t="s">
        <v>639</v>
      </c>
      <c r="C8" s="15" t="s">
        <v>52</v>
      </c>
      <c r="D8" s="15" t="s">
        <v>84</v>
      </c>
      <c r="E8" s="15" t="s">
        <v>640</v>
      </c>
      <c r="F8" s="15" t="s">
        <v>641</v>
      </c>
      <c r="G8" s="15" t="s">
        <v>93</v>
      </c>
      <c r="H8" s="15" t="s">
        <v>642</v>
      </c>
      <c r="I8" s="15" t="s">
        <v>643</v>
      </c>
    </row>
    <row r="9" spans="2:9" ht="18" customHeight="1" x14ac:dyDescent="0.35">
      <c r="B9" s="15" t="s">
        <v>639</v>
      </c>
      <c r="C9" s="15" t="s">
        <v>54</v>
      </c>
      <c r="D9" s="15" t="s">
        <v>114</v>
      </c>
      <c r="E9" s="15" t="s">
        <v>644</v>
      </c>
      <c r="F9" s="15" t="s">
        <v>645</v>
      </c>
      <c r="G9" s="15" t="s">
        <v>104</v>
      </c>
      <c r="H9" s="15" t="s">
        <v>646</v>
      </c>
      <c r="I9" s="15" t="s">
        <v>647</v>
      </c>
    </row>
    <row r="10" spans="2:9" ht="18" customHeight="1" x14ac:dyDescent="0.35">
      <c r="B10" s="15" t="s">
        <v>648</v>
      </c>
      <c r="C10" s="15" t="s">
        <v>56</v>
      </c>
      <c r="D10" s="15" t="s">
        <v>84</v>
      </c>
      <c r="E10" s="15" t="s">
        <v>649</v>
      </c>
      <c r="F10" s="15" t="s">
        <v>562</v>
      </c>
      <c r="G10" s="15" t="s">
        <v>87</v>
      </c>
      <c r="H10" s="15" t="s">
        <v>650</v>
      </c>
      <c r="I10" s="15" t="s">
        <v>651</v>
      </c>
    </row>
    <row r="11" spans="2:9" ht="18" customHeight="1" x14ac:dyDescent="0.35">
      <c r="B11" s="15" t="s">
        <v>652</v>
      </c>
      <c r="C11" s="15" t="s">
        <v>57</v>
      </c>
      <c r="D11" s="15" t="s">
        <v>114</v>
      </c>
      <c r="E11" s="15" t="s">
        <v>653</v>
      </c>
      <c r="F11" s="15" t="s">
        <v>391</v>
      </c>
      <c r="G11" s="15" t="s">
        <v>87</v>
      </c>
      <c r="H11" s="15" t="s">
        <v>654</v>
      </c>
      <c r="I11" s="15" t="s">
        <v>655</v>
      </c>
    </row>
    <row r="12" spans="2:9" ht="18" customHeight="1" x14ac:dyDescent="0.35">
      <c r="B12" s="15" t="s">
        <v>656</v>
      </c>
      <c r="C12" s="15" t="s">
        <v>58</v>
      </c>
      <c r="D12" s="15" t="s">
        <v>108</v>
      </c>
      <c r="E12" s="15" t="s">
        <v>657</v>
      </c>
      <c r="F12" s="15" t="s">
        <v>658</v>
      </c>
      <c r="G12" s="15" t="s">
        <v>87</v>
      </c>
      <c r="H12" s="15" t="s">
        <v>659</v>
      </c>
      <c r="I12" s="15" t="s">
        <v>389</v>
      </c>
    </row>
    <row r="13" spans="2:9" ht="18" customHeight="1" x14ac:dyDescent="0.35">
      <c r="B13" s="15" t="s">
        <v>660</v>
      </c>
      <c r="C13" s="15" t="s">
        <v>52</v>
      </c>
      <c r="D13" s="15" t="s">
        <v>84</v>
      </c>
      <c r="E13" s="15" t="s">
        <v>661</v>
      </c>
      <c r="F13" s="15" t="s">
        <v>662</v>
      </c>
      <c r="G13" s="15" t="s">
        <v>104</v>
      </c>
      <c r="H13" s="15" t="s">
        <v>663</v>
      </c>
      <c r="I13" s="15" t="s">
        <v>664</v>
      </c>
    </row>
    <row r="14" spans="2:9" ht="18" customHeight="1" x14ac:dyDescent="0.35">
      <c r="B14" s="15"/>
      <c r="C14" s="15"/>
      <c r="D14" s="15"/>
      <c r="E14" s="15"/>
      <c r="F14" s="15"/>
      <c r="G14" s="15"/>
      <c r="H14" s="15"/>
      <c r="I14" s="15"/>
    </row>
    <row r="15" spans="2:9" ht="18" customHeight="1" x14ac:dyDescent="0.35">
      <c r="B15" s="15"/>
      <c r="C15" s="15"/>
      <c r="D15" s="15"/>
      <c r="E15" s="15"/>
      <c r="F15" s="15"/>
      <c r="G15" s="15"/>
      <c r="H15" s="15"/>
      <c r="I15" s="15"/>
    </row>
    <row r="17" spans="2:9" ht="21.75" customHeight="1" x14ac:dyDescent="0.35">
      <c r="B17" s="10" t="s">
        <v>119</v>
      </c>
      <c r="C17" s="10"/>
      <c r="D17" s="10"/>
      <c r="E17" s="10"/>
      <c r="F17" s="10"/>
      <c r="G17" s="10"/>
      <c r="H17" s="10"/>
      <c r="I17" s="10"/>
    </row>
    <row r="18" spans="2:9" ht="13.5" customHeight="1" x14ac:dyDescent="0.35">
      <c r="B18" s="11" t="s">
        <v>31</v>
      </c>
      <c r="C18" s="11"/>
      <c r="D18" s="11"/>
      <c r="E18" s="11"/>
      <c r="F18" s="11"/>
      <c r="G18" s="11"/>
      <c r="H18" s="11"/>
      <c r="I18" s="11"/>
    </row>
    <row r="19" spans="2:9" ht="19.5" customHeight="1" x14ac:dyDescent="0.35">
      <c r="B19" s="21" t="s">
        <v>120</v>
      </c>
      <c r="C19" s="21" t="s">
        <v>76</v>
      </c>
      <c r="D19" s="9" t="s">
        <v>121</v>
      </c>
      <c r="E19" s="9"/>
      <c r="F19" s="9"/>
      <c r="G19" s="9" t="s">
        <v>122</v>
      </c>
      <c r="H19" s="9"/>
      <c r="I19" s="21" t="s">
        <v>51</v>
      </c>
    </row>
    <row r="20" spans="2:9" ht="15.75" customHeight="1" x14ac:dyDescent="0.35">
      <c r="B20" s="8" t="s">
        <v>123</v>
      </c>
      <c r="C20" s="8"/>
      <c r="D20" s="8"/>
      <c r="E20" s="8"/>
      <c r="F20" s="8"/>
      <c r="G20" s="8"/>
      <c r="H20" s="8"/>
      <c r="I20" s="8"/>
    </row>
    <row r="21" spans="2:9" ht="18" customHeight="1" x14ac:dyDescent="0.35">
      <c r="B21" s="15"/>
      <c r="C21" s="15" t="s">
        <v>52</v>
      </c>
      <c r="D21" s="15" t="s">
        <v>665</v>
      </c>
      <c r="E21" s="15"/>
      <c r="F21" s="15"/>
      <c r="G21" s="15" t="s">
        <v>641</v>
      </c>
      <c r="H21" s="15"/>
      <c r="I21" s="15" t="s">
        <v>666</v>
      </c>
    </row>
    <row r="22" spans="2:9" ht="18" customHeight="1" x14ac:dyDescent="0.35">
      <c r="B22" s="15"/>
      <c r="C22" s="15" t="s">
        <v>54</v>
      </c>
      <c r="D22" s="15" t="s">
        <v>667</v>
      </c>
      <c r="E22" s="15"/>
      <c r="F22" s="15"/>
      <c r="G22" s="15" t="s">
        <v>645</v>
      </c>
      <c r="H22" s="15"/>
      <c r="I22" s="15"/>
    </row>
    <row r="23" spans="2:9" ht="18" customHeight="1" x14ac:dyDescent="0.35">
      <c r="B23" s="15"/>
      <c r="C23" s="15" t="s">
        <v>57</v>
      </c>
      <c r="D23" s="15" t="s">
        <v>668</v>
      </c>
      <c r="E23" s="15"/>
      <c r="F23" s="15"/>
      <c r="G23" s="15" t="s">
        <v>391</v>
      </c>
      <c r="H23" s="15"/>
      <c r="I23" s="15"/>
    </row>
    <row r="24" spans="2:9" ht="15.75" customHeight="1" x14ac:dyDescent="0.35">
      <c r="B24" s="8" t="s">
        <v>132</v>
      </c>
      <c r="C24" s="8"/>
      <c r="D24" s="8"/>
      <c r="E24" s="8"/>
      <c r="F24" s="8"/>
      <c r="G24" s="8"/>
      <c r="H24" s="8"/>
      <c r="I24" s="8"/>
    </row>
    <row r="25" spans="2:9" ht="18" customHeight="1" x14ac:dyDescent="0.35">
      <c r="B25" s="15"/>
      <c r="C25" s="15" t="s">
        <v>58</v>
      </c>
      <c r="D25" s="15" t="s">
        <v>669</v>
      </c>
      <c r="E25" s="15"/>
      <c r="F25" s="15"/>
      <c r="G25" s="15" t="s">
        <v>329</v>
      </c>
      <c r="H25" s="15"/>
      <c r="I25" s="15" t="s">
        <v>670</v>
      </c>
    </row>
    <row r="26" spans="2:9" ht="18" customHeight="1" x14ac:dyDescent="0.35">
      <c r="B26" s="15"/>
      <c r="C26" s="15" t="s">
        <v>56</v>
      </c>
      <c r="D26" s="15" t="s">
        <v>671</v>
      </c>
      <c r="E26" s="15"/>
      <c r="F26" s="15"/>
      <c r="G26" s="15" t="s">
        <v>672</v>
      </c>
      <c r="H26" s="15"/>
      <c r="I26" s="15"/>
    </row>
    <row r="27" spans="2:9" ht="18" customHeight="1" x14ac:dyDescent="0.35">
      <c r="B27" s="15"/>
      <c r="C27" s="15" t="s">
        <v>57</v>
      </c>
      <c r="D27" s="15" t="s">
        <v>673</v>
      </c>
      <c r="E27" s="15"/>
      <c r="F27" s="15"/>
      <c r="G27" s="15" t="s">
        <v>116</v>
      </c>
      <c r="H27" s="15"/>
      <c r="I27" s="15"/>
    </row>
    <row r="28" spans="2:9" ht="15.75" customHeight="1" x14ac:dyDescent="0.35">
      <c r="B28" s="8" t="s">
        <v>138</v>
      </c>
      <c r="C28" s="8"/>
      <c r="D28" s="8"/>
      <c r="E28" s="8"/>
      <c r="F28" s="8"/>
      <c r="G28" s="8"/>
      <c r="H28" s="8"/>
      <c r="I28" s="8"/>
    </row>
    <row r="29" spans="2:9" ht="18" customHeight="1" x14ac:dyDescent="0.35">
      <c r="B29" s="15"/>
      <c r="C29" s="15" t="s">
        <v>52</v>
      </c>
      <c r="D29" s="15" t="s">
        <v>674</v>
      </c>
      <c r="E29" s="15"/>
      <c r="F29" s="15"/>
      <c r="G29" s="15" t="s">
        <v>662</v>
      </c>
      <c r="H29" s="15"/>
      <c r="I29" s="15" t="s">
        <v>675</v>
      </c>
    </row>
    <row r="30" spans="2:9" ht="18" customHeight="1" x14ac:dyDescent="0.35">
      <c r="B30" s="15"/>
      <c r="C30" s="15" t="s">
        <v>54</v>
      </c>
      <c r="D30" s="15" t="s">
        <v>676</v>
      </c>
      <c r="E30" s="15"/>
      <c r="F30" s="15"/>
      <c r="G30" s="15" t="s">
        <v>645</v>
      </c>
      <c r="H30" s="15"/>
      <c r="I30" s="15"/>
    </row>
    <row r="31" spans="2:9" ht="18" customHeight="1" x14ac:dyDescent="0.35">
      <c r="B31" s="15"/>
      <c r="C31" s="15"/>
      <c r="D31" s="15"/>
      <c r="E31" s="15"/>
      <c r="F31" s="15"/>
      <c r="G31" s="15"/>
      <c r="H31" s="15"/>
      <c r="I31" s="15"/>
    </row>
    <row r="32" spans="2:9" ht="15.75" customHeight="1" x14ac:dyDescent="0.35">
      <c r="B32" s="8" t="s">
        <v>143</v>
      </c>
      <c r="C32" s="8"/>
      <c r="D32" s="8"/>
      <c r="E32" s="8"/>
      <c r="F32" s="8"/>
      <c r="G32" s="8"/>
      <c r="H32" s="8"/>
      <c r="I32" s="8"/>
    </row>
    <row r="33" spans="2:9" ht="18" customHeight="1" x14ac:dyDescent="0.35">
      <c r="B33" s="15"/>
      <c r="C33" s="15" t="s">
        <v>58</v>
      </c>
      <c r="D33" s="15" t="s">
        <v>677</v>
      </c>
      <c r="E33" s="15"/>
      <c r="F33" s="15"/>
      <c r="G33" s="15" t="s">
        <v>329</v>
      </c>
      <c r="H33" s="15"/>
      <c r="I33" s="15"/>
    </row>
    <row r="34" spans="2:9" ht="18" customHeight="1" x14ac:dyDescent="0.35">
      <c r="B34" s="15"/>
      <c r="C34" s="15"/>
      <c r="D34" s="15"/>
      <c r="E34" s="15"/>
      <c r="F34" s="15"/>
      <c r="G34" s="15"/>
      <c r="H34" s="15"/>
      <c r="I34" s="15"/>
    </row>
    <row r="35" spans="2:9" ht="18" customHeight="1" x14ac:dyDescent="0.35">
      <c r="B35" s="15"/>
      <c r="C35" s="15"/>
      <c r="D35" s="15"/>
      <c r="E35" s="15"/>
      <c r="F35" s="15"/>
      <c r="G35" s="15"/>
      <c r="H35" s="15"/>
      <c r="I35" s="15"/>
    </row>
    <row r="37" spans="2:9" ht="21.75" customHeight="1" x14ac:dyDescent="0.35">
      <c r="B37" s="7" t="s">
        <v>144</v>
      </c>
      <c r="C37" s="7"/>
      <c r="D37" s="7"/>
      <c r="E37" s="7"/>
      <c r="F37" s="7"/>
      <c r="G37" s="7"/>
      <c r="H37" s="7"/>
      <c r="I37" s="7"/>
    </row>
    <row r="38" spans="2:9" ht="13.5" customHeight="1" x14ac:dyDescent="0.35">
      <c r="B38" s="11" t="s">
        <v>145</v>
      </c>
      <c r="C38" s="11"/>
      <c r="D38" s="11"/>
      <c r="E38" s="11"/>
      <c r="F38" s="11"/>
      <c r="G38" s="11"/>
      <c r="H38" s="11"/>
      <c r="I38" s="11"/>
    </row>
    <row r="39" spans="2:9" ht="19.5" customHeight="1" x14ac:dyDescent="0.35">
      <c r="B39" s="22" t="s">
        <v>146</v>
      </c>
      <c r="C39" s="22" t="s">
        <v>147</v>
      </c>
      <c r="D39" s="22" t="s">
        <v>148</v>
      </c>
      <c r="E39" s="6" t="s">
        <v>149</v>
      </c>
      <c r="F39" s="6"/>
      <c r="G39" s="6"/>
      <c r="H39" s="6"/>
      <c r="I39" s="6"/>
    </row>
    <row r="40" spans="2:9" ht="21.75" customHeight="1" x14ac:dyDescent="0.35">
      <c r="B40" s="5" t="s">
        <v>593</v>
      </c>
      <c r="C40" s="5"/>
      <c r="D40" s="5"/>
      <c r="E40" s="4" t="s">
        <v>678</v>
      </c>
      <c r="F40" s="4"/>
      <c r="G40" s="4"/>
      <c r="H40" s="4"/>
      <c r="I40" s="4"/>
    </row>
    <row r="41" spans="2:9" ht="21.75" customHeight="1" x14ac:dyDescent="0.35">
      <c r="B41" s="3" t="s">
        <v>152</v>
      </c>
      <c r="C41" s="3"/>
      <c r="D41" s="3"/>
      <c r="E41" s="4" t="s">
        <v>679</v>
      </c>
      <c r="F41" s="4"/>
      <c r="G41" s="4"/>
      <c r="H41" s="4"/>
      <c r="I41" s="4"/>
    </row>
    <row r="42" spans="2:9" ht="21.75" customHeight="1" x14ac:dyDescent="0.35">
      <c r="B42" s="3" t="s">
        <v>154</v>
      </c>
      <c r="C42" s="3"/>
      <c r="D42" s="3"/>
      <c r="E42" s="4" t="s">
        <v>680</v>
      </c>
      <c r="F42" s="4"/>
      <c r="G42" s="4"/>
      <c r="H42" s="4"/>
      <c r="I42" s="4"/>
    </row>
    <row r="43" spans="2:9" ht="21.75" customHeight="1" x14ac:dyDescent="0.35">
      <c r="B43" s="3" t="s">
        <v>156</v>
      </c>
      <c r="C43" s="3"/>
      <c r="D43" s="3"/>
      <c r="E43" s="4" t="s">
        <v>681</v>
      </c>
      <c r="F43" s="4"/>
      <c r="G43" s="4"/>
      <c r="H43" s="4"/>
      <c r="I43" s="4"/>
    </row>
    <row r="44" spans="2:9" ht="21.75" customHeight="1" x14ac:dyDescent="0.35">
      <c r="B44" s="5" t="s">
        <v>430</v>
      </c>
      <c r="C44" s="5"/>
      <c r="D44" s="5"/>
      <c r="E44" s="4" t="s">
        <v>682</v>
      </c>
      <c r="F44" s="4"/>
      <c r="G44" s="4"/>
      <c r="H44" s="4"/>
      <c r="I44" s="4"/>
    </row>
    <row r="45" spans="2:9" ht="21.75" customHeight="1" x14ac:dyDescent="0.35">
      <c r="B45" s="3" t="s">
        <v>152</v>
      </c>
      <c r="C45" s="3"/>
      <c r="D45" s="3"/>
      <c r="E45" s="4" t="s">
        <v>683</v>
      </c>
      <c r="F45" s="4"/>
      <c r="G45" s="4"/>
      <c r="H45" s="4"/>
      <c r="I45" s="4"/>
    </row>
    <row r="46" spans="2:9" ht="21.75" customHeight="1" x14ac:dyDescent="0.35">
      <c r="B46" s="3" t="s">
        <v>154</v>
      </c>
      <c r="C46" s="3"/>
      <c r="D46" s="3"/>
      <c r="E46" s="4" t="s">
        <v>684</v>
      </c>
      <c r="F46" s="4"/>
      <c r="G46" s="4"/>
      <c r="H46" s="4"/>
      <c r="I46" s="4"/>
    </row>
    <row r="47" spans="2:9" ht="21.75" customHeight="1" x14ac:dyDescent="0.35">
      <c r="B47" s="3" t="s">
        <v>156</v>
      </c>
      <c r="C47" s="3"/>
      <c r="D47" s="3"/>
      <c r="E47" s="4" t="s">
        <v>685</v>
      </c>
      <c r="F47" s="4"/>
      <c r="G47" s="4"/>
      <c r="H47" s="4"/>
      <c r="I47" s="4"/>
    </row>
    <row r="48" spans="2:9" ht="21.75" customHeight="1" x14ac:dyDescent="0.35">
      <c r="B48" s="5" t="s">
        <v>163</v>
      </c>
      <c r="C48" s="5"/>
      <c r="D48" s="5"/>
      <c r="E48" s="4" t="s">
        <v>686</v>
      </c>
      <c r="F48" s="4"/>
      <c r="G48" s="4"/>
      <c r="H48" s="4"/>
      <c r="I48" s="4"/>
    </row>
    <row r="49" spans="2:9" ht="21.75" customHeight="1" x14ac:dyDescent="0.35">
      <c r="B49" s="3" t="s">
        <v>152</v>
      </c>
      <c r="C49" s="3"/>
      <c r="D49" s="3"/>
      <c r="E49" s="4" t="s">
        <v>687</v>
      </c>
      <c r="F49" s="4"/>
      <c r="G49" s="4"/>
      <c r="H49" s="4"/>
      <c r="I49" s="4"/>
    </row>
    <row r="50" spans="2:9" ht="21.75" customHeight="1" x14ac:dyDescent="0.35">
      <c r="B50" s="3" t="s">
        <v>154</v>
      </c>
      <c r="C50" s="3"/>
      <c r="D50" s="3"/>
      <c r="E50" s="4" t="s">
        <v>688</v>
      </c>
      <c r="F50" s="4"/>
      <c r="G50" s="4"/>
      <c r="H50" s="4"/>
      <c r="I50" s="4"/>
    </row>
    <row r="51" spans="2:9" ht="21.75" customHeight="1" x14ac:dyDescent="0.35">
      <c r="B51" s="3" t="s">
        <v>156</v>
      </c>
      <c r="C51" s="3"/>
      <c r="D51" s="3"/>
      <c r="E51" s="4" t="s">
        <v>689</v>
      </c>
      <c r="F51" s="4"/>
      <c r="G51" s="4"/>
      <c r="H51" s="4"/>
      <c r="I51" s="4"/>
    </row>
    <row r="52" spans="2:9" ht="21.75" customHeight="1" x14ac:dyDescent="0.35">
      <c r="B52" s="5" t="s">
        <v>690</v>
      </c>
      <c r="C52" s="5"/>
      <c r="D52" s="5"/>
      <c r="E52" s="4" t="s">
        <v>691</v>
      </c>
      <c r="F52" s="4"/>
      <c r="G52" s="4"/>
      <c r="H52" s="4"/>
      <c r="I52" s="4"/>
    </row>
    <row r="53" spans="2:9" ht="21.75" customHeight="1" x14ac:dyDescent="0.35">
      <c r="B53" s="3" t="s">
        <v>152</v>
      </c>
      <c r="C53" s="3"/>
      <c r="D53" s="3"/>
      <c r="E53" s="4" t="s">
        <v>692</v>
      </c>
      <c r="F53" s="4"/>
      <c r="G53" s="4"/>
      <c r="H53" s="4"/>
      <c r="I53" s="4"/>
    </row>
    <row r="54" spans="2:9" ht="21.75" customHeight="1" x14ac:dyDescent="0.35">
      <c r="B54" s="3" t="s">
        <v>154</v>
      </c>
      <c r="C54" s="3"/>
      <c r="D54" s="3"/>
      <c r="E54" s="4" t="s">
        <v>693</v>
      </c>
      <c r="F54" s="4"/>
      <c r="G54" s="4"/>
      <c r="H54" s="4"/>
      <c r="I54" s="4"/>
    </row>
    <row r="55" spans="2:9" ht="21.75" customHeight="1" x14ac:dyDescent="0.35">
      <c r="B55" s="3" t="s">
        <v>156</v>
      </c>
      <c r="C55" s="3"/>
      <c r="D55" s="3"/>
      <c r="E55" s="4" t="s">
        <v>694</v>
      </c>
      <c r="F55" s="4"/>
      <c r="G55" s="4"/>
      <c r="H55" s="4"/>
      <c r="I55" s="4"/>
    </row>
    <row r="56" spans="2:9" x14ac:dyDescent="0.35">
      <c r="E56" s="4"/>
      <c r="F56" s="4"/>
      <c r="G56" s="4"/>
      <c r="H56" s="4"/>
      <c r="I56" s="4"/>
    </row>
    <row r="57" spans="2:9" ht="21.75" customHeight="1" x14ac:dyDescent="0.35">
      <c r="B57" s="2" t="s">
        <v>173</v>
      </c>
      <c r="C57" s="2"/>
      <c r="D57" s="2"/>
      <c r="E57" s="2"/>
      <c r="F57" s="2"/>
      <c r="G57" s="2"/>
      <c r="H57" s="2"/>
      <c r="I57" s="2"/>
    </row>
    <row r="58" spans="2:9" ht="13.5" customHeight="1" x14ac:dyDescent="0.35">
      <c r="B58" s="11" t="s">
        <v>174</v>
      </c>
      <c r="C58" s="11"/>
      <c r="D58" s="11"/>
      <c r="E58" s="11"/>
      <c r="F58" s="11"/>
      <c r="G58" s="11"/>
      <c r="H58" s="11"/>
      <c r="I58" s="11"/>
    </row>
    <row r="59" spans="2:9" ht="18" customHeight="1" x14ac:dyDescent="0.35">
      <c r="B59" s="1" t="s">
        <v>175</v>
      </c>
      <c r="C59" s="1"/>
      <c r="D59" s="1"/>
      <c r="E59" s="1"/>
      <c r="F59" s="1"/>
      <c r="G59" s="1"/>
      <c r="H59" s="1"/>
      <c r="I59" s="1"/>
    </row>
    <row r="60" spans="2:9" ht="18" customHeight="1" x14ac:dyDescent="0.35">
      <c r="B60" s="24" t="s">
        <v>176</v>
      </c>
      <c r="C60" s="24"/>
      <c r="D60" s="24"/>
      <c r="E60" s="25" t="s">
        <v>695</v>
      </c>
      <c r="F60" s="25"/>
      <c r="G60" s="25"/>
      <c r="H60" s="25"/>
      <c r="I60" s="25"/>
    </row>
    <row r="61" spans="2:9" ht="18" customHeight="1" x14ac:dyDescent="0.35">
      <c r="B61" s="24" t="s">
        <v>178</v>
      </c>
      <c r="C61" s="24"/>
      <c r="D61" s="24"/>
      <c r="E61" s="25" t="s">
        <v>696</v>
      </c>
      <c r="F61" s="25"/>
      <c r="G61" s="25"/>
      <c r="H61" s="25"/>
      <c r="I61" s="25"/>
    </row>
    <row r="62" spans="2:9" ht="18" customHeight="1" x14ac:dyDescent="0.35">
      <c r="B62" s="24" t="s">
        <v>180</v>
      </c>
      <c r="C62" s="24"/>
      <c r="D62" s="24"/>
      <c r="E62" s="25" t="s">
        <v>697</v>
      </c>
      <c r="F62" s="25"/>
      <c r="G62" s="25"/>
      <c r="H62" s="25"/>
      <c r="I62" s="25"/>
    </row>
    <row r="63" spans="2:9" ht="18" customHeight="1" x14ac:dyDescent="0.35">
      <c r="B63" s="24" t="s">
        <v>182</v>
      </c>
      <c r="C63" s="24"/>
      <c r="D63" s="24"/>
      <c r="E63" s="25" t="s">
        <v>698</v>
      </c>
      <c r="F63" s="25"/>
      <c r="G63" s="25"/>
      <c r="H63" s="25"/>
      <c r="I63" s="25"/>
    </row>
    <row r="64" spans="2:9" ht="18" customHeight="1" x14ac:dyDescent="0.35">
      <c r="B64" s="24" t="s">
        <v>184</v>
      </c>
      <c r="C64" s="24"/>
      <c r="D64" s="24"/>
      <c r="E64" s="25" t="s">
        <v>699</v>
      </c>
      <c r="F64" s="25"/>
      <c r="G64" s="25"/>
      <c r="H64" s="25"/>
      <c r="I64" s="25"/>
    </row>
    <row r="66" spans="2:9" ht="18" customHeight="1" x14ac:dyDescent="0.35">
      <c r="B66" s="1" t="s">
        <v>186</v>
      </c>
      <c r="C66" s="1"/>
      <c r="D66" s="1"/>
      <c r="E66" s="1"/>
      <c r="F66" s="1"/>
      <c r="G66" s="1"/>
      <c r="H66" s="1"/>
      <c r="I66" s="1"/>
    </row>
    <row r="67" spans="2:9" ht="18" customHeight="1" x14ac:dyDescent="0.35">
      <c r="B67" s="24" t="s">
        <v>176</v>
      </c>
      <c r="C67" s="24"/>
      <c r="D67" s="24"/>
      <c r="E67" s="25" t="s">
        <v>700</v>
      </c>
      <c r="F67" s="25"/>
      <c r="G67" s="25"/>
      <c r="H67" s="25"/>
      <c r="I67" s="25"/>
    </row>
    <row r="68" spans="2:9" ht="18" customHeight="1" x14ac:dyDescent="0.35">
      <c r="B68" s="24" t="s">
        <v>178</v>
      </c>
      <c r="C68" s="24"/>
      <c r="D68" s="24"/>
      <c r="E68" s="25" t="s">
        <v>701</v>
      </c>
      <c r="F68" s="25"/>
      <c r="G68" s="25"/>
      <c r="H68" s="25"/>
      <c r="I68" s="25"/>
    </row>
    <row r="69" spans="2:9" ht="18" customHeight="1" x14ac:dyDescent="0.35">
      <c r="B69" s="24" t="s">
        <v>180</v>
      </c>
      <c r="C69" s="24"/>
      <c r="D69" s="24"/>
      <c r="E69" s="25" t="s">
        <v>702</v>
      </c>
      <c r="F69" s="25"/>
      <c r="G69" s="25"/>
      <c r="H69" s="25"/>
      <c r="I69" s="25"/>
    </row>
    <row r="70" spans="2:9" ht="18" customHeight="1" x14ac:dyDescent="0.35">
      <c r="B70" s="24" t="s">
        <v>182</v>
      </c>
      <c r="C70" s="24"/>
      <c r="D70" s="24"/>
      <c r="E70" s="25" t="s">
        <v>703</v>
      </c>
      <c r="F70" s="25"/>
      <c r="G70" s="25"/>
      <c r="H70" s="25"/>
      <c r="I70" s="25"/>
    </row>
    <row r="71" spans="2:9" ht="18" customHeight="1" x14ac:dyDescent="0.35">
      <c r="B71" s="24" t="s">
        <v>184</v>
      </c>
      <c r="C71" s="24"/>
      <c r="D71" s="24"/>
      <c r="E71" s="25" t="s">
        <v>704</v>
      </c>
      <c r="F71" s="25"/>
      <c r="G71" s="25"/>
      <c r="H71" s="25"/>
      <c r="I71" s="25"/>
    </row>
    <row r="73" spans="2:9" ht="18" customHeight="1" x14ac:dyDescent="0.35">
      <c r="B73" s="1" t="s">
        <v>192</v>
      </c>
      <c r="C73" s="1"/>
      <c r="D73" s="1"/>
      <c r="E73" s="1"/>
      <c r="F73" s="1"/>
      <c r="G73" s="1"/>
      <c r="H73" s="1"/>
      <c r="I73" s="1"/>
    </row>
    <row r="74" spans="2:9" ht="18" customHeight="1" x14ac:dyDescent="0.35">
      <c r="B74" s="24" t="s">
        <v>176</v>
      </c>
      <c r="C74" s="24"/>
      <c r="D74" s="24"/>
      <c r="E74" s="3" t="s">
        <v>705</v>
      </c>
      <c r="F74" s="3"/>
      <c r="G74" s="3"/>
      <c r="H74" s="3"/>
      <c r="I74" s="3"/>
    </row>
    <row r="75" spans="2:9" ht="18" customHeight="1" x14ac:dyDescent="0.35">
      <c r="B75" s="24" t="s">
        <v>178</v>
      </c>
      <c r="C75" s="24"/>
      <c r="D75" s="24"/>
      <c r="E75" s="3" t="s">
        <v>706</v>
      </c>
      <c r="F75" s="3"/>
      <c r="G75" s="3"/>
      <c r="H75" s="3"/>
      <c r="I75" s="3"/>
    </row>
    <row r="76" spans="2:9" ht="18" customHeight="1" x14ac:dyDescent="0.35">
      <c r="B76" s="24" t="s">
        <v>180</v>
      </c>
      <c r="C76" s="24"/>
      <c r="D76" s="24"/>
      <c r="E76" s="3" t="s">
        <v>707</v>
      </c>
      <c r="F76" s="3"/>
      <c r="G76" s="3"/>
      <c r="H76" s="3"/>
      <c r="I76" s="3"/>
    </row>
    <row r="77" spans="2:9" ht="18" customHeight="1" x14ac:dyDescent="0.35">
      <c r="B77" s="24" t="s">
        <v>182</v>
      </c>
      <c r="C77" s="24"/>
      <c r="D77" s="24"/>
      <c r="E77" s="3" t="s">
        <v>708</v>
      </c>
      <c r="F77" s="3"/>
      <c r="G77" s="3"/>
      <c r="H77" s="3"/>
      <c r="I77" s="3"/>
    </row>
    <row r="78" spans="2:9" ht="18" customHeight="1" x14ac:dyDescent="0.35">
      <c r="B78" s="24" t="s">
        <v>184</v>
      </c>
      <c r="C78" s="24"/>
      <c r="D78" s="24"/>
      <c r="E78" s="3" t="s">
        <v>709</v>
      </c>
      <c r="F78" s="3"/>
      <c r="G78" s="3"/>
      <c r="H78" s="3"/>
      <c r="I78" s="3"/>
    </row>
    <row r="80" spans="2:9" ht="18" customHeight="1" x14ac:dyDescent="0.35">
      <c r="B80" s="1" t="s">
        <v>198</v>
      </c>
      <c r="C80" s="1"/>
      <c r="D80" s="1"/>
      <c r="E80" s="1"/>
      <c r="F80" s="1"/>
      <c r="G80" s="1"/>
      <c r="H80" s="1"/>
      <c r="I80" s="1"/>
    </row>
    <row r="81" spans="2:9" ht="18" customHeight="1" x14ac:dyDescent="0.35">
      <c r="B81" s="24" t="s">
        <v>176</v>
      </c>
      <c r="C81" s="24"/>
      <c r="D81" s="24"/>
      <c r="E81" s="3" t="s">
        <v>710</v>
      </c>
      <c r="F81" s="3"/>
      <c r="G81" s="3"/>
      <c r="H81" s="3"/>
      <c r="I81" s="3"/>
    </row>
    <row r="82" spans="2:9" ht="18" customHeight="1" x14ac:dyDescent="0.35">
      <c r="B82" s="24" t="s">
        <v>178</v>
      </c>
      <c r="C82" s="24"/>
      <c r="D82" s="24"/>
      <c r="E82" s="3" t="s">
        <v>711</v>
      </c>
      <c r="F82" s="3"/>
      <c r="G82" s="3"/>
      <c r="H82" s="3"/>
      <c r="I82" s="3"/>
    </row>
    <row r="83" spans="2:9" ht="18" customHeight="1" x14ac:dyDescent="0.35">
      <c r="B83" s="24" t="s">
        <v>180</v>
      </c>
      <c r="C83" s="24"/>
      <c r="D83" s="24"/>
      <c r="E83" s="3" t="s">
        <v>712</v>
      </c>
      <c r="F83" s="3"/>
      <c r="G83" s="3"/>
      <c r="H83" s="3"/>
      <c r="I83" s="3"/>
    </row>
    <row r="84" spans="2:9" ht="18" customHeight="1" x14ac:dyDescent="0.35">
      <c r="B84" s="24" t="s">
        <v>182</v>
      </c>
      <c r="C84" s="24"/>
      <c r="D84" s="24"/>
      <c r="E84" s="3" t="s">
        <v>713</v>
      </c>
      <c r="F84" s="3"/>
      <c r="G84" s="3"/>
      <c r="H84" s="3"/>
      <c r="I84" s="3"/>
    </row>
    <row r="85" spans="2:9" ht="18" customHeight="1" x14ac:dyDescent="0.35">
      <c r="B85" s="24" t="s">
        <v>184</v>
      </c>
      <c r="C85" s="24"/>
      <c r="D85" s="24"/>
      <c r="E85" s="3" t="s">
        <v>714</v>
      </c>
      <c r="F85" s="3"/>
      <c r="G85" s="3"/>
      <c r="H85" s="3"/>
      <c r="I85" s="3"/>
    </row>
    <row r="87" spans="2:9" ht="18" customHeight="1" x14ac:dyDescent="0.35">
      <c r="B87" s="1" t="s">
        <v>204</v>
      </c>
      <c r="C87" s="1"/>
      <c r="D87" s="1"/>
      <c r="E87" s="1"/>
      <c r="F87" s="1"/>
      <c r="G87" s="1"/>
      <c r="H87" s="1"/>
      <c r="I87" s="1"/>
    </row>
    <row r="88" spans="2:9" ht="18" customHeight="1" x14ac:dyDescent="0.35">
      <c r="B88" s="24" t="s">
        <v>176</v>
      </c>
      <c r="C88" s="24"/>
      <c r="D88" s="24"/>
      <c r="E88" s="3" t="s">
        <v>715</v>
      </c>
      <c r="F88" s="3"/>
      <c r="G88" s="3"/>
      <c r="H88" s="3"/>
      <c r="I88" s="3"/>
    </row>
    <row r="89" spans="2:9" ht="18" customHeight="1" x14ac:dyDescent="0.35">
      <c r="B89" s="24" t="s">
        <v>178</v>
      </c>
      <c r="C89" s="24"/>
      <c r="D89" s="24"/>
      <c r="E89" s="3" t="s">
        <v>716</v>
      </c>
      <c r="F89" s="3"/>
      <c r="G89" s="3"/>
      <c r="H89" s="3"/>
      <c r="I89" s="3"/>
    </row>
    <row r="90" spans="2:9" ht="18" customHeight="1" x14ac:dyDescent="0.35">
      <c r="B90" s="24" t="s">
        <v>180</v>
      </c>
      <c r="C90" s="24"/>
      <c r="D90" s="24"/>
      <c r="E90" s="3" t="s">
        <v>717</v>
      </c>
      <c r="F90" s="3"/>
      <c r="G90" s="3"/>
      <c r="H90" s="3"/>
      <c r="I90" s="3"/>
    </row>
    <row r="91" spans="2:9" ht="18" customHeight="1" x14ac:dyDescent="0.35">
      <c r="B91" s="24" t="s">
        <v>182</v>
      </c>
      <c r="C91" s="24"/>
      <c r="D91" s="24"/>
      <c r="E91" s="3" t="s">
        <v>718</v>
      </c>
      <c r="F91" s="3"/>
      <c r="G91" s="3"/>
      <c r="H91" s="3"/>
      <c r="I91" s="3"/>
    </row>
    <row r="92" spans="2:9" ht="18" customHeight="1" x14ac:dyDescent="0.35">
      <c r="B92" s="24" t="s">
        <v>184</v>
      </c>
      <c r="C92" s="24"/>
      <c r="D92" s="24"/>
      <c r="E92" s="3" t="s">
        <v>719</v>
      </c>
      <c r="F92" s="3"/>
      <c r="G92" s="3"/>
      <c r="H92" s="3"/>
      <c r="I92" s="3"/>
    </row>
    <row r="94" spans="2:9" ht="15.75" customHeight="1" x14ac:dyDescent="0.35">
      <c r="B94" s="26" t="s">
        <v>720</v>
      </c>
      <c r="C94" s="26"/>
      <c r="D94" s="26"/>
      <c r="E94" s="26"/>
      <c r="F94" s="26"/>
      <c r="G94" s="26"/>
      <c r="H94" s="26"/>
      <c r="I94" s="26"/>
    </row>
  </sheetData>
  <mergeCells count="106">
    <mergeCell ref="B92:D92"/>
    <mergeCell ref="E92:I92"/>
    <mergeCell ref="B94:I94"/>
    <mergeCell ref="B87:I87"/>
    <mergeCell ref="B88:D88"/>
    <mergeCell ref="E88:I88"/>
    <mergeCell ref="B89:D89"/>
    <mergeCell ref="E89:I89"/>
    <mergeCell ref="B90:D90"/>
    <mergeCell ref="E90:I90"/>
    <mergeCell ref="B91:D91"/>
    <mergeCell ref="E91:I91"/>
    <mergeCell ref="B81:D81"/>
    <mergeCell ref="E81:I81"/>
    <mergeCell ref="B82:D82"/>
    <mergeCell ref="E82:I82"/>
    <mergeCell ref="B83:D83"/>
    <mergeCell ref="E83:I83"/>
    <mergeCell ref="B84:D84"/>
    <mergeCell ref="E84:I84"/>
    <mergeCell ref="B85:D85"/>
    <mergeCell ref="E85:I85"/>
    <mergeCell ref="B75:D75"/>
    <mergeCell ref="E75:I75"/>
    <mergeCell ref="B76:D76"/>
    <mergeCell ref="E76:I76"/>
    <mergeCell ref="B77:D77"/>
    <mergeCell ref="E77:I77"/>
    <mergeCell ref="B78:D78"/>
    <mergeCell ref="E78:I78"/>
    <mergeCell ref="B80:I80"/>
    <mergeCell ref="B69:D69"/>
    <mergeCell ref="E69:I69"/>
    <mergeCell ref="B70:D70"/>
    <mergeCell ref="E70:I70"/>
    <mergeCell ref="B71:D71"/>
    <mergeCell ref="E71:I71"/>
    <mergeCell ref="B73:I73"/>
    <mergeCell ref="B74:D74"/>
    <mergeCell ref="E74:I74"/>
    <mergeCell ref="B63:D63"/>
    <mergeCell ref="E63:I63"/>
    <mergeCell ref="B64:D64"/>
    <mergeCell ref="E64:I64"/>
    <mergeCell ref="B66:I66"/>
    <mergeCell ref="B67:D67"/>
    <mergeCell ref="E67:I67"/>
    <mergeCell ref="B68:D68"/>
    <mergeCell ref="E68:I68"/>
    <mergeCell ref="B57:I57"/>
    <mergeCell ref="B58:I58"/>
    <mergeCell ref="B59:I59"/>
    <mergeCell ref="B60:D60"/>
    <mergeCell ref="E60:I60"/>
    <mergeCell ref="B61:D61"/>
    <mergeCell ref="E61:I61"/>
    <mergeCell ref="B62:D62"/>
    <mergeCell ref="E62:I62"/>
    <mergeCell ref="B52:D52"/>
    <mergeCell ref="E52:I52"/>
    <mergeCell ref="B53:D53"/>
    <mergeCell ref="E53:I53"/>
    <mergeCell ref="B54:D54"/>
    <mergeCell ref="E54:I54"/>
    <mergeCell ref="B55:D55"/>
    <mergeCell ref="E55:I55"/>
    <mergeCell ref="E56:I56"/>
    <mergeCell ref="B47:D47"/>
    <mergeCell ref="E47:I47"/>
    <mergeCell ref="B48:D48"/>
    <mergeCell ref="E48:I48"/>
    <mergeCell ref="B49:D49"/>
    <mergeCell ref="E49:I49"/>
    <mergeCell ref="B50:D50"/>
    <mergeCell ref="E50:I50"/>
    <mergeCell ref="B51:D51"/>
    <mergeCell ref="E51:I51"/>
    <mergeCell ref="B42:D42"/>
    <mergeCell ref="E42:I42"/>
    <mergeCell ref="B43:D43"/>
    <mergeCell ref="E43:I43"/>
    <mergeCell ref="B44:D44"/>
    <mergeCell ref="E44:I44"/>
    <mergeCell ref="B45:D45"/>
    <mergeCell ref="E45:I45"/>
    <mergeCell ref="B46:D46"/>
    <mergeCell ref="E46:I46"/>
    <mergeCell ref="B24:I24"/>
    <mergeCell ref="B28:I28"/>
    <mergeCell ref="B32:I32"/>
    <mergeCell ref="B37:I37"/>
    <mergeCell ref="B38:I38"/>
    <mergeCell ref="E39:I39"/>
    <mergeCell ref="B40:D40"/>
    <mergeCell ref="E40:I40"/>
    <mergeCell ref="B41:D41"/>
    <mergeCell ref="E41:I41"/>
    <mergeCell ref="B2:I2"/>
    <mergeCell ref="B3:I3"/>
    <mergeCell ref="B5:I5"/>
    <mergeCell ref="B6:I6"/>
    <mergeCell ref="B17:I17"/>
    <mergeCell ref="B18:I18"/>
    <mergeCell ref="D19:F19"/>
    <mergeCell ref="G19:H19"/>
    <mergeCell ref="B20:I20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I94"/>
  <sheetViews>
    <sheetView showGridLines="0" topLeftCell="A33" zoomScaleNormal="100" workbookViewId="0">
      <selection activeCell="E71" sqref="E71:I71"/>
    </sheetView>
  </sheetViews>
  <sheetFormatPr defaultColWidth="8.6328125" defaultRowHeight="14.5" x14ac:dyDescent="0.35"/>
  <cols>
    <col min="1" max="1" width="3" customWidth="1"/>
    <col min="2" max="2" width="12" customWidth="1"/>
    <col min="3" max="3" width="6" customWidth="1"/>
    <col min="4" max="4" width="61" bestFit="1" customWidth="1"/>
    <col min="5" max="5" width="65" customWidth="1"/>
    <col min="6" max="6" width="18.90625" customWidth="1"/>
    <col min="7" max="7" width="28.54296875" bestFit="1" customWidth="1"/>
    <col min="8" max="8" width="48.26953125" customWidth="1"/>
    <col min="9" max="9" width="30.81640625" customWidth="1"/>
  </cols>
  <sheetData>
    <row r="1" spans="2:9" ht="13.5" customHeight="1" x14ac:dyDescent="0.35"/>
    <row r="2" spans="2:9" ht="33.75" customHeight="1" x14ac:dyDescent="0.35">
      <c r="B2" s="14" t="s">
        <v>721</v>
      </c>
      <c r="C2" s="14"/>
      <c r="D2" s="14"/>
      <c r="E2" s="14"/>
      <c r="F2" s="14"/>
      <c r="G2" s="14"/>
      <c r="H2" s="14"/>
      <c r="I2" s="14"/>
    </row>
    <row r="3" spans="2:9" ht="15.75" customHeight="1" x14ac:dyDescent="0.35">
      <c r="B3" s="13" t="s">
        <v>72</v>
      </c>
      <c r="C3" s="13"/>
      <c r="D3" s="13"/>
      <c r="E3" s="13"/>
      <c r="F3" s="13"/>
      <c r="G3" s="13"/>
      <c r="H3" s="13"/>
      <c r="I3" s="13"/>
    </row>
    <row r="5" spans="2:9" ht="21.75" customHeight="1" x14ac:dyDescent="0.35">
      <c r="B5" s="12" t="s">
        <v>73</v>
      </c>
      <c r="C5" s="12"/>
      <c r="D5" s="12"/>
      <c r="E5" s="12"/>
      <c r="F5" s="12"/>
      <c r="G5" s="12"/>
      <c r="H5" s="12"/>
      <c r="I5" s="12"/>
    </row>
    <row r="6" spans="2:9" ht="13.5" customHeight="1" x14ac:dyDescent="0.35">
      <c r="B6" s="11" t="s">
        <v>74</v>
      </c>
      <c r="C6" s="11"/>
      <c r="D6" s="11"/>
      <c r="E6" s="11"/>
      <c r="F6" s="11"/>
      <c r="G6" s="11"/>
      <c r="H6" s="11"/>
      <c r="I6" s="11"/>
    </row>
    <row r="7" spans="2:9" ht="19.5" customHeight="1" x14ac:dyDescent="0.35">
      <c r="B7" s="17" t="s">
        <v>75</v>
      </c>
      <c r="C7" s="17" t="s">
        <v>76</v>
      </c>
      <c r="D7" s="17" t="s">
        <v>77</v>
      </c>
      <c r="E7" s="17" t="s">
        <v>78</v>
      </c>
      <c r="F7" s="17" t="s">
        <v>79</v>
      </c>
      <c r="G7" s="17" t="s">
        <v>80</v>
      </c>
      <c r="H7" s="17" t="s">
        <v>81</v>
      </c>
      <c r="I7" s="17" t="s">
        <v>82</v>
      </c>
    </row>
    <row r="8" spans="2:9" ht="18" customHeight="1" x14ac:dyDescent="0.35">
      <c r="B8" s="15" t="s">
        <v>722</v>
      </c>
      <c r="C8" s="15" t="s">
        <v>52</v>
      </c>
      <c r="D8" s="15" t="s">
        <v>84</v>
      </c>
      <c r="E8" s="15" t="s">
        <v>723</v>
      </c>
      <c r="F8" s="15" t="s">
        <v>724</v>
      </c>
      <c r="G8" s="15" t="s">
        <v>93</v>
      </c>
      <c r="H8" s="15" t="s">
        <v>725</v>
      </c>
      <c r="I8" s="15" t="s">
        <v>726</v>
      </c>
    </row>
    <row r="9" spans="2:9" ht="18" customHeight="1" x14ac:dyDescent="0.35">
      <c r="B9" s="15" t="s">
        <v>722</v>
      </c>
      <c r="C9" s="15" t="s">
        <v>54</v>
      </c>
      <c r="D9" s="15" t="s">
        <v>114</v>
      </c>
      <c r="E9" s="15" t="s">
        <v>727</v>
      </c>
      <c r="F9" s="15" t="s">
        <v>728</v>
      </c>
      <c r="G9" s="15" t="s">
        <v>104</v>
      </c>
      <c r="H9" s="15" t="s">
        <v>729</v>
      </c>
      <c r="I9" s="15" t="s">
        <v>730</v>
      </c>
    </row>
    <row r="10" spans="2:9" ht="18" customHeight="1" x14ac:dyDescent="0.35">
      <c r="B10" s="15" t="s">
        <v>731</v>
      </c>
      <c r="C10" s="15" t="s">
        <v>56</v>
      </c>
      <c r="D10" s="15" t="s">
        <v>84</v>
      </c>
      <c r="E10" s="15" t="s">
        <v>732</v>
      </c>
      <c r="F10" s="15" t="s">
        <v>733</v>
      </c>
      <c r="G10" s="15" t="s">
        <v>93</v>
      </c>
      <c r="H10" s="15" t="s">
        <v>734</v>
      </c>
      <c r="I10" s="15" t="s">
        <v>735</v>
      </c>
    </row>
    <row r="11" spans="2:9" ht="18" customHeight="1" x14ac:dyDescent="0.35">
      <c r="B11" s="15" t="s">
        <v>736</v>
      </c>
      <c r="C11" s="15" t="s">
        <v>57</v>
      </c>
      <c r="D11" s="15" t="s">
        <v>114</v>
      </c>
      <c r="E11" s="15" t="s">
        <v>737</v>
      </c>
      <c r="F11" s="15" t="s">
        <v>728</v>
      </c>
      <c r="G11" s="15" t="s">
        <v>104</v>
      </c>
      <c r="H11" s="15" t="s">
        <v>738</v>
      </c>
      <c r="I11" s="15" t="s">
        <v>739</v>
      </c>
    </row>
    <row r="12" spans="2:9" ht="18" customHeight="1" x14ac:dyDescent="0.35">
      <c r="B12" s="15" t="s">
        <v>736</v>
      </c>
      <c r="C12" s="15" t="s">
        <v>58</v>
      </c>
      <c r="D12" s="15" t="s">
        <v>108</v>
      </c>
      <c r="E12" s="15" t="s">
        <v>740</v>
      </c>
      <c r="F12" s="15" t="s">
        <v>672</v>
      </c>
      <c r="G12" s="15" t="s">
        <v>104</v>
      </c>
      <c r="H12" s="15" t="s">
        <v>741</v>
      </c>
      <c r="I12" s="15" t="s">
        <v>742</v>
      </c>
    </row>
    <row r="13" spans="2:9" ht="18" customHeight="1" x14ac:dyDescent="0.35">
      <c r="B13" s="15" t="s">
        <v>743</v>
      </c>
      <c r="C13" s="15" t="s">
        <v>54</v>
      </c>
      <c r="D13" s="15" t="s">
        <v>84</v>
      </c>
      <c r="E13" s="15" t="s">
        <v>744</v>
      </c>
      <c r="F13" s="15" t="s">
        <v>745</v>
      </c>
      <c r="G13" s="15" t="s">
        <v>87</v>
      </c>
      <c r="H13" s="15" t="s">
        <v>746</v>
      </c>
      <c r="I13" s="15" t="s">
        <v>747</v>
      </c>
    </row>
    <row r="14" spans="2:9" ht="18" customHeight="1" x14ac:dyDescent="0.35">
      <c r="B14" s="15"/>
      <c r="C14" s="15"/>
      <c r="D14" s="15"/>
      <c r="E14" s="15"/>
      <c r="F14" s="15"/>
      <c r="G14" s="15"/>
      <c r="H14" s="15"/>
      <c r="I14" s="15"/>
    </row>
    <row r="15" spans="2:9" ht="18" customHeight="1" x14ac:dyDescent="0.35">
      <c r="B15" s="15"/>
      <c r="C15" s="15"/>
      <c r="D15" s="15"/>
      <c r="E15" s="15"/>
      <c r="F15" s="15"/>
      <c r="G15" s="15"/>
      <c r="H15" s="15"/>
      <c r="I15" s="15"/>
    </row>
    <row r="17" spans="2:9" ht="21.75" customHeight="1" x14ac:dyDescent="0.35">
      <c r="B17" s="10" t="s">
        <v>119</v>
      </c>
      <c r="C17" s="10"/>
      <c r="D17" s="10"/>
      <c r="E17" s="10"/>
      <c r="F17" s="10"/>
      <c r="G17" s="10"/>
      <c r="H17" s="10"/>
      <c r="I17" s="10"/>
    </row>
    <row r="18" spans="2:9" ht="13.5" customHeight="1" x14ac:dyDescent="0.35">
      <c r="B18" s="11" t="s">
        <v>31</v>
      </c>
      <c r="C18" s="11"/>
      <c r="D18" s="11"/>
      <c r="E18" s="11"/>
      <c r="F18" s="11"/>
      <c r="G18" s="11"/>
      <c r="H18" s="11"/>
      <c r="I18" s="11"/>
    </row>
    <row r="19" spans="2:9" ht="19.5" customHeight="1" x14ac:dyDescent="0.35">
      <c r="B19" s="21" t="s">
        <v>120</v>
      </c>
      <c r="C19" s="21" t="s">
        <v>76</v>
      </c>
      <c r="D19" s="9" t="s">
        <v>121</v>
      </c>
      <c r="E19" s="9"/>
      <c r="F19" s="9"/>
      <c r="G19" s="9" t="s">
        <v>122</v>
      </c>
      <c r="H19" s="9"/>
      <c r="I19" s="21" t="s">
        <v>51</v>
      </c>
    </row>
    <row r="20" spans="2:9" ht="15.75" customHeight="1" x14ac:dyDescent="0.35">
      <c r="B20" s="8" t="s">
        <v>123</v>
      </c>
      <c r="C20" s="8"/>
      <c r="D20" s="8"/>
      <c r="E20" s="8"/>
      <c r="F20" s="8"/>
      <c r="G20" s="8"/>
      <c r="H20" s="8"/>
      <c r="I20" s="8"/>
    </row>
    <row r="21" spans="2:9" ht="18" customHeight="1" x14ac:dyDescent="0.35">
      <c r="B21" s="15"/>
      <c r="C21" s="15" t="s">
        <v>52</v>
      </c>
      <c r="D21" s="15" t="s">
        <v>748</v>
      </c>
      <c r="E21" s="15"/>
      <c r="F21" s="15"/>
      <c r="G21" s="15" t="s">
        <v>724</v>
      </c>
      <c r="H21" s="15"/>
      <c r="I21" s="15"/>
    </row>
    <row r="22" spans="2:9" ht="18" customHeight="1" x14ac:dyDescent="0.35">
      <c r="B22" s="15"/>
      <c r="C22" s="15" t="s">
        <v>56</v>
      </c>
      <c r="D22" s="15" t="s">
        <v>749</v>
      </c>
      <c r="E22" s="15"/>
      <c r="F22" s="15"/>
      <c r="G22" s="15" t="s">
        <v>750</v>
      </c>
      <c r="H22" s="15"/>
      <c r="I22" s="15"/>
    </row>
    <row r="23" spans="2:9" ht="18" customHeight="1" x14ac:dyDescent="0.35">
      <c r="B23" s="15"/>
      <c r="C23" s="15" t="s">
        <v>58</v>
      </c>
      <c r="D23" s="15" t="s">
        <v>751</v>
      </c>
      <c r="E23" s="15"/>
      <c r="F23" s="15"/>
      <c r="G23" s="15" t="s">
        <v>329</v>
      </c>
      <c r="H23" s="15"/>
      <c r="I23" s="15"/>
    </row>
    <row r="24" spans="2:9" ht="15.75" customHeight="1" x14ac:dyDescent="0.35">
      <c r="B24" s="8" t="s">
        <v>132</v>
      </c>
      <c r="C24" s="8"/>
      <c r="D24" s="8"/>
      <c r="E24" s="8"/>
      <c r="F24" s="8"/>
      <c r="G24" s="8"/>
      <c r="H24" s="8"/>
      <c r="I24" s="8"/>
    </row>
    <row r="25" spans="2:9" ht="18" customHeight="1" x14ac:dyDescent="0.35">
      <c r="B25" s="15"/>
      <c r="C25" s="15" t="s">
        <v>54</v>
      </c>
      <c r="D25" s="15" t="s">
        <v>752</v>
      </c>
      <c r="E25" s="15"/>
      <c r="F25" s="15"/>
      <c r="G25" s="15" t="s">
        <v>672</v>
      </c>
      <c r="H25" s="15"/>
      <c r="I25" s="15" t="s">
        <v>753</v>
      </c>
    </row>
    <row r="26" spans="2:9" ht="18" customHeight="1" x14ac:dyDescent="0.35">
      <c r="B26" s="15"/>
      <c r="C26" s="15" t="s">
        <v>57</v>
      </c>
      <c r="D26" s="15" t="s">
        <v>754</v>
      </c>
      <c r="E26" s="15"/>
      <c r="F26" s="15"/>
      <c r="G26" s="15" t="s">
        <v>728</v>
      </c>
      <c r="H26" s="15"/>
      <c r="I26" s="15" t="s">
        <v>755</v>
      </c>
    </row>
    <row r="27" spans="2:9" ht="18" customHeight="1" x14ac:dyDescent="0.35">
      <c r="B27" s="15"/>
      <c r="C27" s="15" t="s">
        <v>52</v>
      </c>
      <c r="D27" s="15" t="s">
        <v>756</v>
      </c>
      <c r="E27" s="15"/>
      <c r="F27" s="15"/>
      <c r="G27" s="15" t="s">
        <v>757</v>
      </c>
      <c r="H27" s="15"/>
      <c r="I27" s="15" t="s">
        <v>758</v>
      </c>
    </row>
    <row r="28" spans="2:9" ht="15.75" customHeight="1" x14ac:dyDescent="0.35">
      <c r="B28" s="8" t="s">
        <v>138</v>
      </c>
      <c r="C28" s="8"/>
      <c r="D28" s="8"/>
      <c r="E28" s="8"/>
      <c r="F28" s="8"/>
      <c r="G28" s="8"/>
      <c r="H28" s="8"/>
      <c r="I28" s="8"/>
    </row>
    <row r="29" spans="2:9" ht="18" customHeight="1" x14ac:dyDescent="0.35">
      <c r="B29" s="15"/>
      <c r="C29" s="15" t="s">
        <v>54</v>
      </c>
      <c r="D29" s="15" t="s">
        <v>759</v>
      </c>
      <c r="E29" s="15"/>
      <c r="F29" s="15"/>
      <c r="G29" s="15" t="s">
        <v>645</v>
      </c>
      <c r="H29" s="15"/>
      <c r="I29" s="15"/>
    </row>
    <row r="30" spans="2:9" ht="18" customHeight="1" x14ac:dyDescent="0.35">
      <c r="B30" s="15"/>
      <c r="C30" s="15" t="s">
        <v>56</v>
      </c>
      <c r="D30" s="15" t="s">
        <v>760</v>
      </c>
      <c r="E30" s="15"/>
      <c r="F30" s="15"/>
      <c r="G30" s="15" t="s">
        <v>761</v>
      </c>
      <c r="H30" s="15"/>
      <c r="I30" s="15"/>
    </row>
    <row r="31" spans="2:9" ht="18" customHeight="1" x14ac:dyDescent="0.35">
      <c r="B31" s="15"/>
      <c r="C31" s="15"/>
      <c r="D31" s="15"/>
      <c r="E31" s="15"/>
      <c r="F31" s="15"/>
      <c r="G31" s="15"/>
      <c r="H31" s="15"/>
      <c r="I31" s="15"/>
    </row>
    <row r="32" spans="2:9" ht="15.75" customHeight="1" x14ac:dyDescent="0.35">
      <c r="B32" s="8" t="s">
        <v>143</v>
      </c>
      <c r="C32" s="8"/>
      <c r="D32" s="8"/>
      <c r="E32" s="8"/>
      <c r="F32" s="8"/>
      <c r="G32" s="8"/>
      <c r="H32" s="8"/>
      <c r="I32" s="8"/>
    </row>
    <row r="33" spans="2:9" ht="18" customHeight="1" x14ac:dyDescent="0.35">
      <c r="B33" s="15"/>
      <c r="C33" s="15" t="s">
        <v>52</v>
      </c>
      <c r="D33" s="15" t="s">
        <v>762</v>
      </c>
      <c r="E33" s="15"/>
      <c r="F33" s="15"/>
      <c r="G33" s="15" t="s">
        <v>672</v>
      </c>
      <c r="H33" s="15"/>
      <c r="I33" s="15" t="s">
        <v>763</v>
      </c>
    </row>
    <row r="34" spans="2:9" ht="18" customHeight="1" x14ac:dyDescent="0.35">
      <c r="B34" s="15"/>
      <c r="C34" s="15"/>
      <c r="D34" s="15"/>
      <c r="E34" s="15"/>
      <c r="F34" s="15"/>
      <c r="G34" s="15"/>
      <c r="H34" s="15"/>
      <c r="I34" s="15"/>
    </row>
    <row r="35" spans="2:9" ht="18" customHeight="1" x14ac:dyDescent="0.35">
      <c r="B35" s="15"/>
      <c r="C35" s="15"/>
      <c r="D35" s="15"/>
      <c r="E35" s="15"/>
      <c r="F35" s="15"/>
      <c r="G35" s="15"/>
      <c r="H35" s="15"/>
      <c r="I35" s="15"/>
    </row>
    <row r="37" spans="2:9" ht="21.75" customHeight="1" x14ac:dyDescent="0.35">
      <c r="B37" s="7" t="s">
        <v>144</v>
      </c>
      <c r="C37" s="7"/>
      <c r="D37" s="7"/>
      <c r="E37" s="7"/>
      <c r="F37" s="7"/>
      <c r="G37" s="7"/>
      <c r="H37" s="7"/>
      <c r="I37" s="7"/>
    </row>
    <row r="38" spans="2:9" ht="13.5" customHeight="1" x14ac:dyDescent="0.35">
      <c r="B38" s="11" t="s">
        <v>145</v>
      </c>
      <c r="C38" s="11"/>
      <c r="D38" s="11"/>
      <c r="E38" s="11"/>
      <c r="F38" s="11"/>
      <c r="G38" s="11"/>
      <c r="H38" s="11"/>
      <c r="I38" s="11"/>
    </row>
    <row r="39" spans="2:9" ht="19.5" customHeight="1" x14ac:dyDescent="0.35">
      <c r="B39" s="22" t="s">
        <v>146</v>
      </c>
      <c r="C39" s="22" t="s">
        <v>147</v>
      </c>
      <c r="D39" s="22" t="s">
        <v>148</v>
      </c>
      <c r="E39" s="6" t="s">
        <v>149</v>
      </c>
      <c r="F39" s="6"/>
      <c r="G39" s="6"/>
      <c r="H39" s="6"/>
      <c r="I39" s="6"/>
    </row>
    <row r="40" spans="2:9" ht="21.75" customHeight="1" x14ac:dyDescent="0.35">
      <c r="B40" s="5" t="s">
        <v>593</v>
      </c>
      <c r="C40" s="5"/>
      <c r="D40" s="5"/>
      <c r="E40" s="4" t="s">
        <v>764</v>
      </c>
      <c r="F40" s="4"/>
      <c r="G40" s="4"/>
      <c r="H40" s="4"/>
      <c r="I40" s="4"/>
    </row>
    <row r="41" spans="2:9" ht="21.75" customHeight="1" x14ac:dyDescent="0.35">
      <c r="B41" s="3" t="s">
        <v>152</v>
      </c>
      <c r="C41" s="3"/>
      <c r="D41" s="3"/>
      <c r="E41" s="4" t="s">
        <v>765</v>
      </c>
      <c r="F41" s="4"/>
      <c r="G41" s="4"/>
      <c r="H41" s="4"/>
      <c r="I41" s="4"/>
    </row>
    <row r="42" spans="2:9" ht="21.75" customHeight="1" x14ac:dyDescent="0.35">
      <c r="B42" s="3" t="s">
        <v>154</v>
      </c>
      <c r="C42" s="3"/>
      <c r="D42" s="3"/>
      <c r="E42" s="4" t="s">
        <v>766</v>
      </c>
      <c r="F42" s="4"/>
      <c r="G42" s="4"/>
      <c r="H42" s="4"/>
      <c r="I42" s="4"/>
    </row>
    <row r="43" spans="2:9" ht="21.75" customHeight="1" x14ac:dyDescent="0.35">
      <c r="B43" s="3" t="s">
        <v>156</v>
      </c>
      <c r="C43" s="3"/>
      <c r="D43" s="3"/>
      <c r="E43" s="4" t="s">
        <v>767</v>
      </c>
      <c r="F43" s="4"/>
      <c r="G43" s="4"/>
      <c r="H43" s="4"/>
      <c r="I43" s="4"/>
    </row>
    <row r="44" spans="2:9" ht="21.75" customHeight="1" x14ac:dyDescent="0.35">
      <c r="B44" s="5" t="s">
        <v>512</v>
      </c>
      <c r="C44" s="5"/>
      <c r="D44" s="5"/>
      <c r="E44" s="4" t="s">
        <v>768</v>
      </c>
      <c r="F44" s="4"/>
      <c r="G44" s="4"/>
      <c r="H44" s="4"/>
      <c r="I44" s="4"/>
    </row>
    <row r="45" spans="2:9" ht="21.75" customHeight="1" x14ac:dyDescent="0.35">
      <c r="B45" s="3" t="s">
        <v>152</v>
      </c>
      <c r="C45" s="3"/>
      <c r="D45" s="3"/>
      <c r="E45" s="4" t="s">
        <v>769</v>
      </c>
      <c r="F45" s="4"/>
      <c r="G45" s="4"/>
      <c r="H45" s="4"/>
      <c r="I45" s="4"/>
    </row>
    <row r="46" spans="2:9" ht="21.75" customHeight="1" x14ac:dyDescent="0.35">
      <c r="B46" s="3" t="s">
        <v>154</v>
      </c>
      <c r="C46" s="3"/>
      <c r="D46" s="3"/>
      <c r="E46" s="4" t="s">
        <v>770</v>
      </c>
      <c r="F46" s="4"/>
      <c r="G46" s="4"/>
      <c r="H46" s="4"/>
      <c r="I46" s="4"/>
    </row>
    <row r="47" spans="2:9" ht="21.75" customHeight="1" x14ac:dyDescent="0.35">
      <c r="B47" s="3" t="s">
        <v>156</v>
      </c>
      <c r="C47" s="3"/>
      <c r="D47" s="3"/>
      <c r="E47" s="4" t="s">
        <v>771</v>
      </c>
      <c r="F47" s="4"/>
      <c r="G47" s="4"/>
      <c r="H47" s="4"/>
      <c r="I47" s="4"/>
    </row>
    <row r="48" spans="2:9" ht="21.75" customHeight="1" x14ac:dyDescent="0.35">
      <c r="B48" s="5" t="s">
        <v>517</v>
      </c>
      <c r="C48" s="5"/>
      <c r="D48" s="5"/>
      <c r="E48" s="4" t="s">
        <v>772</v>
      </c>
      <c r="F48" s="4"/>
      <c r="G48" s="4"/>
      <c r="H48" s="4"/>
      <c r="I48" s="4"/>
    </row>
    <row r="49" spans="2:9" ht="21.75" customHeight="1" x14ac:dyDescent="0.35">
      <c r="B49" s="3" t="s">
        <v>152</v>
      </c>
      <c r="C49" s="3"/>
      <c r="D49" s="3"/>
      <c r="E49" s="4" t="s">
        <v>773</v>
      </c>
      <c r="F49" s="4"/>
      <c r="G49" s="4"/>
      <c r="H49" s="4"/>
      <c r="I49" s="4"/>
    </row>
    <row r="50" spans="2:9" ht="21.75" customHeight="1" x14ac:dyDescent="0.35">
      <c r="B50" s="3" t="s">
        <v>154</v>
      </c>
      <c r="C50" s="3"/>
      <c r="D50" s="3"/>
      <c r="E50" s="4" t="s">
        <v>774</v>
      </c>
      <c r="F50" s="4"/>
      <c r="G50" s="4"/>
      <c r="H50" s="4"/>
      <c r="I50" s="4"/>
    </row>
    <row r="51" spans="2:9" ht="21.75" customHeight="1" x14ac:dyDescent="0.35">
      <c r="B51" s="3" t="s">
        <v>156</v>
      </c>
      <c r="C51" s="3"/>
      <c r="D51" s="3"/>
      <c r="E51" s="4" t="s">
        <v>775</v>
      </c>
      <c r="F51" s="4"/>
      <c r="G51" s="4"/>
      <c r="H51" s="4"/>
      <c r="I51" s="4"/>
    </row>
    <row r="52" spans="2:9" ht="21.75" customHeight="1" x14ac:dyDescent="0.35">
      <c r="B52" s="5" t="s">
        <v>776</v>
      </c>
      <c r="C52" s="5"/>
      <c r="D52" s="5"/>
      <c r="E52" s="4" t="s">
        <v>777</v>
      </c>
      <c r="F52" s="4"/>
      <c r="G52" s="4"/>
      <c r="H52" s="4"/>
      <c r="I52" s="4"/>
    </row>
    <row r="53" spans="2:9" ht="21.75" customHeight="1" x14ac:dyDescent="0.35">
      <c r="B53" s="3" t="s">
        <v>152</v>
      </c>
      <c r="C53" s="3"/>
      <c r="D53" s="3"/>
      <c r="E53" s="4" t="s">
        <v>778</v>
      </c>
      <c r="F53" s="4"/>
      <c r="G53" s="4"/>
      <c r="H53" s="4"/>
      <c r="I53" s="4"/>
    </row>
    <row r="54" spans="2:9" ht="21.75" customHeight="1" x14ac:dyDescent="0.35">
      <c r="B54" s="3" t="s">
        <v>154</v>
      </c>
      <c r="C54" s="3"/>
      <c r="D54" s="3"/>
      <c r="E54" s="4" t="s">
        <v>779</v>
      </c>
      <c r="F54" s="4"/>
      <c r="G54" s="4"/>
      <c r="H54" s="4"/>
      <c r="I54" s="4"/>
    </row>
    <row r="55" spans="2:9" ht="21.75" customHeight="1" x14ac:dyDescent="0.35">
      <c r="B55" s="3" t="s">
        <v>156</v>
      </c>
      <c r="C55" s="3"/>
      <c r="D55" s="3"/>
      <c r="E55" s="4" t="s">
        <v>780</v>
      </c>
      <c r="F55" s="4"/>
      <c r="G55" s="4"/>
      <c r="H55" s="4"/>
      <c r="I55" s="4"/>
    </row>
    <row r="56" spans="2:9" x14ac:dyDescent="0.35">
      <c r="E56" s="4"/>
      <c r="F56" s="4"/>
      <c r="G56" s="4"/>
      <c r="H56" s="4"/>
      <c r="I56" s="4"/>
    </row>
    <row r="57" spans="2:9" ht="21.75" customHeight="1" x14ac:dyDescent="0.35">
      <c r="B57" s="2" t="s">
        <v>173</v>
      </c>
      <c r="C57" s="2"/>
      <c r="D57" s="2"/>
      <c r="E57" s="2"/>
      <c r="F57" s="2"/>
      <c r="G57" s="2"/>
      <c r="H57" s="2"/>
      <c r="I57" s="2"/>
    </row>
    <row r="58" spans="2:9" ht="13.5" customHeight="1" x14ac:dyDescent="0.35">
      <c r="B58" s="11" t="s">
        <v>174</v>
      </c>
      <c r="C58" s="11"/>
      <c r="D58" s="11"/>
      <c r="E58" s="11"/>
      <c r="F58" s="11"/>
      <c r="G58" s="11"/>
      <c r="H58" s="11"/>
      <c r="I58" s="11"/>
    </row>
    <row r="59" spans="2:9" ht="18" customHeight="1" x14ac:dyDescent="0.35">
      <c r="B59" s="1" t="s">
        <v>175</v>
      </c>
      <c r="C59" s="1"/>
      <c r="D59" s="1"/>
      <c r="E59" s="1"/>
      <c r="F59" s="1"/>
      <c r="G59" s="1"/>
      <c r="H59" s="1"/>
      <c r="I59" s="1"/>
    </row>
    <row r="60" spans="2:9" ht="18" customHeight="1" x14ac:dyDescent="0.35">
      <c r="B60" s="24" t="s">
        <v>176</v>
      </c>
      <c r="C60" s="24"/>
      <c r="D60" s="24"/>
      <c r="E60" s="25" t="s">
        <v>781</v>
      </c>
      <c r="F60" s="25"/>
      <c r="G60" s="25"/>
      <c r="H60" s="25"/>
      <c r="I60" s="25"/>
    </row>
    <row r="61" spans="2:9" ht="18" customHeight="1" x14ac:dyDescent="0.35">
      <c r="B61" s="24" t="s">
        <v>178</v>
      </c>
      <c r="C61" s="24"/>
      <c r="D61" s="24"/>
      <c r="E61" s="25" t="s">
        <v>782</v>
      </c>
      <c r="F61" s="25"/>
      <c r="G61" s="25"/>
      <c r="H61" s="25"/>
      <c r="I61" s="25"/>
    </row>
    <row r="62" spans="2:9" ht="18" customHeight="1" x14ac:dyDescent="0.35">
      <c r="B62" s="24" t="s">
        <v>180</v>
      </c>
      <c r="C62" s="24"/>
      <c r="D62" s="24"/>
      <c r="E62" s="25" t="s">
        <v>783</v>
      </c>
      <c r="F62" s="25"/>
      <c r="G62" s="25"/>
      <c r="H62" s="25"/>
      <c r="I62" s="25"/>
    </row>
    <row r="63" spans="2:9" ht="18" customHeight="1" x14ac:dyDescent="0.35">
      <c r="B63" s="24" t="s">
        <v>182</v>
      </c>
      <c r="C63" s="24"/>
      <c r="D63" s="24"/>
      <c r="E63" s="25" t="s">
        <v>784</v>
      </c>
      <c r="F63" s="25"/>
      <c r="G63" s="25"/>
      <c r="H63" s="25"/>
      <c r="I63" s="25"/>
    </row>
    <row r="64" spans="2:9" ht="18" customHeight="1" x14ac:dyDescent="0.35">
      <c r="B64" s="24" t="s">
        <v>184</v>
      </c>
      <c r="C64" s="24"/>
      <c r="D64" s="24"/>
      <c r="E64" s="25" t="s">
        <v>785</v>
      </c>
      <c r="F64" s="25"/>
      <c r="G64" s="25"/>
      <c r="H64" s="25"/>
      <c r="I64" s="25"/>
    </row>
    <row r="66" spans="2:9" ht="18" customHeight="1" x14ac:dyDescent="0.35">
      <c r="B66" s="1" t="s">
        <v>186</v>
      </c>
      <c r="C66" s="1"/>
      <c r="D66" s="1"/>
      <c r="E66" s="1"/>
      <c r="F66" s="1"/>
      <c r="G66" s="1"/>
      <c r="H66" s="1"/>
      <c r="I66" s="1"/>
    </row>
    <row r="67" spans="2:9" ht="18" customHeight="1" x14ac:dyDescent="0.35">
      <c r="B67" s="24" t="s">
        <v>176</v>
      </c>
      <c r="C67" s="24"/>
      <c r="D67" s="24"/>
      <c r="E67" s="25" t="s">
        <v>786</v>
      </c>
      <c r="F67" s="25"/>
      <c r="G67" s="25"/>
      <c r="H67" s="25"/>
      <c r="I67" s="25"/>
    </row>
    <row r="68" spans="2:9" ht="18" customHeight="1" x14ac:dyDescent="0.35">
      <c r="B68" s="24" t="s">
        <v>178</v>
      </c>
      <c r="C68" s="24"/>
      <c r="D68" s="24"/>
      <c r="E68" s="25" t="s">
        <v>787</v>
      </c>
      <c r="F68" s="25"/>
      <c r="G68" s="25"/>
      <c r="H68" s="25"/>
      <c r="I68" s="25"/>
    </row>
    <row r="69" spans="2:9" ht="18" customHeight="1" x14ac:dyDescent="0.35">
      <c r="B69" s="24" t="s">
        <v>180</v>
      </c>
      <c r="C69" s="24"/>
      <c r="D69" s="24"/>
      <c r="E69" s="25" t="s">
        <v>788</v>
      </c>
      <c r="F69" s="25"/>
      <c r="G69" s="25"/>
      <c r="H69" s="25"/>
      <c r="I69" s="25"/>
    </row>
    <row r="70" spans="2:9" ht="18" customHeight="1" x14ac:dyDescent="0.35">
      <c r="B70" s="24" t="s">
        <v>182</v>
      </c>
      <c r="C70" s="24"/>
      <c r="D70" s="24"/>
      <c r="E70" s="25" t="s">
        <v>789</v>
      </c>
      <c r="F70" s="25"/>
      <c r="G70" s="25"/>
      <c r="H70" s="25"/>
      <c r="I70" s="25"/>
    </row>
    <row r="71" spans="2:9" ht="18" customHeight="1" x14ac:dyDescent="0.35">
      <c r="B71" s="24" t="s">
        <v>184</v>
      </c>
      <c r="C71" s="24"/>
      <c r="D71" s="24"/>
      <c r="E71" s="25" t="s">
        <v>790</v>
      </c>
      <c r="F71" s="25"/>
      <c r="G71" s="25"/>
      <c r="H71" s="25"/>
      <c r="I71" s="25"/>
    </row>
    <row r="73" spans="2:9" ht="18" customHeight="1" x14ac:dyDescent="0.35">
      <c r="B73" s="1" t="s">
        <v>192</v>
      </c>
      <c r="C73" s="1"/>
      <c r="D73" s="1"/>
      <c r="E73" s="1"/>
      <c r="F73" s="1"/>
      <c r="G73" s="1"/>
      <c r="H73" s="1"/>
      <c r="I73" s="1"/>
    </row>
    <row r="74" spans="2:9" ht="18" customHeight="1" x14ac:dyDescent="0.35">
      <c r="B74" s="24" t="s">
        <v>176</v>
      </c>
      <c r="C74" s="24"/>
      <c r="D74" s="24"/>
      <c r="E74" s="3" t="s">
        <v>791</v>
      </c>
      <c r="F74" s="3"/>
      <c r="G74" s="3"/>
      <c r="H74" s="3"/>
      <c r="I74" s="3"/>
    </row>
    <row r="75" spans="2:9" ht="18" customHeight="1" x14ac:dyDescent="0.35">
      <c r="B75" s="24" t="s">
        <v>178</v>
      </c>
      <c r="C75" s="24"/>
      <c r="D75" s="24"/>
      <c r="E75" s="3" t="s">
        <v>792</v>
      </c>
      <c r="F75" s="3"/>
      <c r="G75" s="3"/>
      <c r="H75" s="3"/>
      <c r="I75" s="3"/>
    </row>
    <row r="76" spans="2:9" ht="18" customHeight="1" x14ac:dyDescent="0.35">
      <c r="B76" s="24" t="s">
        <v>180</v>
      </c>
      <c r="C76" s="24"/>
      <c r="D76" s="24"/>
      <c r="E76" s="3" t="s">
        <v>793</v>
      </c>
      <c r="F76" s="3"/>
      <c r="G76" s="3"/>
      <c r="H76" s="3"/>
      <c r="I76" s="3"/>
    </row>
    <row r="77" spans="2:9" ht="18" customHeight="1" x14ac:dyDescent="0.35">
      <c r="B77" s="24" t="s">
        <v>182</v>
      </c>
      <c r="C77" s="24"/>
      <c r="D77" s="24"/>
      <c r="E77" s="3" t="s">
        <v>794</v>
      </c>
      <c r="F77" s="3"/>
      <c r="G77" s="3"/>
      <c r="H77" s="3"/>
      <c r="I77" s="3"/>
    </row>
    <row r="78" spans="2:9" ht="18" customHeight="1" x14ac:dyDescent="0.35">
      <c r="B78" s="24" t="s">
        <v>184</v>
      </c>
      <c r="C78" s="24"/>
      <c r="D78" s="24"/>
      <c r="E78" s="3" t="s">
        <v>795</v>
      </c>
      <c r="F78" s="3"/>
      <c r="G78" s="3"/>
      <c r="H78" s="3"/>
      <c r="I78" s="3"/>
    </row>
    <row r="80" spans="2:9" ht="18" customHeight="1" x14ac:dyDescent="0.35">
      <c r="B80" s="1" t="s">
        <v>198</v>
      </c>
      <c r="C80" s="1"/>
      <c r="D80" s="1"/>
      <c r="E80" s="1"/>
      <c r="F80" s="1"/>
      <c r="G80" s="1"/>
      <c r="H80" s="1"/>
      <c r="I80" s="1"/>
    </row>
    <row r="81" spans="2:9" ht="18" customHeight="1" x14ac:dyDescent="0.35">
      <c r="B81" s="24" t="s">
        <v>176</v>
      </c>
      <c r="C81" s="24"/>
      <c r="D81" s="24"/>
      <c r="E81" s="3" t="s">
        <v>796</v>
      </c>
      <c r="F81" s="3"/>
      <c r="G81" s="3"/>
      <c r="H81" s="3"/>
      <c r="I81" s="3"/>
    </row>
    <row r="82" spans="2:9" ht="18" customHeight="1" x14ac:dyDescent="0.35">
      <c r="B82" s="24" t="s">
        <v>178</v>
      </c>
      <c r="C82" s="24"/>
      <c r="D82" s="24"/>
      <c r="E82" s="3" t="s">
        <v>797</v>
      </c>
      <c r="F82" s="3"/>
      <c r="G82" s="3"/>
      <c r="H82" s="3"/>
      <c r="I82" s="3"/>
    </row>
    <row r="83" spans="2:9" ht="18" customHeight="1" x14ac:dyDescent="0.35">
      <c r="B83" s="24" t="s">
        <v>180</v>
      </c>
      <c r="C83" s="24"/>
      <c r="D83" s="24"/>
      <c r="E83" s="3" t="s">
        <v>798</v>
      </c>
      <c r="F83" s="3"/>
      <c r="G83" s="3"/>
      <c r="H83" s="3"/>
      <c r="I83" s="3"/>
    </row>
    <row r="84" spans="2:9" ht="18" customHeight="1" x14ac:dyDescent="0.35">
      <c r="B84" s="24" t="s">
        <v>182</v>
      </c>
      <c r="C84" s="24"/>
      <c r="D84" s="24"/>
      <c r="E84" s="3" t="s">
        <v>799</v>
      </c>
      <c r="F84" s="3"/>
      <c r="G84" s="3"/>
      <c r="H84" s="3"/>
      <c r="I84" s="3"/>
    </row>
    <row r="85" spans="2:9" ht="18" customHeight="1" x14ac:dyDescent="0.35">
      <c r="B85" s="24" t="s">
        <v>184</v>
      </c>
      <c r="C85" s="24"/>
      <c r="D85" s="24"/>
      <c r="E85" s="3" t="s">
        <v>800</v>
      </c>
      <c r="F85" s="3"/>
      <c r="G85" s="3"/>
      <c r="H85" s="3"/>
      <c r="I85" s="3"/>
    </row>
    <row r="87" spans="2:9" ht="18" customHeight="1" x14ac:dyDescent="0.35">
      <c r="B87" s="1" t="s">
        <v>204</v>
      </c>
      <c r="C87" s="1"/>
      <c r="D87" s="1"/>
      <c r="E87" s="1"/>
      <c r="F87" s="1"/>
      <c r="G87" s="1"/>
      <c r="H87" s="1"/>
      <c r="I87" s="1"/>
    </row>
    <row r="88" spans="2:9" ht="18" customHeight="1" x14ac:dyDescent="0.35">
      <c r="B88" s="24" t="s">
        <v>176</v>
      </c>
      <c r="C88" s="24"/>
      <c r="D88" s="24"/>
      <c r="E88" s="3" t="s">
        <v>801</v>
      </c>
      <c r="F88" s="3"/>
      <c r="G88" s="3"/>
      <c r="H88" s="3"/>
      <c r="I88" s="3"/>
    </row>
    <row r="89" spans="2:9" ht="18" customHeight="1" x14ac:dyDescent="0.35">
      <c r="B89" s="24" t="s">
        <v>178</v>
      </c>
      <c r="C89" s="24"/>
      <c r="D89" s="24"/>
      <c r="E89" s="3" t="s">
        <v>802</v>
      </c>
      <c r="F89" s="3"/>
      <c r="G89" s="3"/>
      <c r="H89" s="3"/>
      <c r="I89" s="3"/>
    </row>
    <row r="90" spans="2:9" ht="18" customHeight="1" x14ac:dyDescent="0.35">
      <c r="B90" s="24" t="s">
        <v>180</v>
      </c>
      <c r="C90" s="24"/>
      <c r="D90" s="24"/>
      <c r="E90" s="3" t="s">
        <v>803</v>
      </c>
      <c r="F90" s="3"/>
      <c r="G90" s="3"/>
      <c r="H90" s="3"/>
      <c r="I90" s="3"/>
    </row>
    <row r="91" spans="2:9" ht="18" customHeight="1" x14ac:dyDescent="0.35">
      <c r="B91" s="24" t="s">
        <v>182</v>
      </c>
      <c r="C91" s="24"/>
      <c r="D91" s="24"/>
      <c r="E91" s="3" t="s">
        <v>804</v>
      </c>
      <c r="F91" s="3"/>
      <c r="G91" s="3"/>
      <c r="H91" s="3"/>
      <c r="I91" s="3"/>
    </row>
    <row r="92" spans="2:9" ht="18" customHeight="1" x14ac:dyDescent="0.35">
      <c r="B92" s="24" t="s">
        <v>184</v>
      </c>
      <c r="C92" s="24"/>
      <c r="D92" s="24"/>
      <c r="E92" s="3" t="s">
        <v>805</v>
      </c>
      <c r="F92" s="3"/>
      <c r="G92" s="3"/>
      <c r="H92" s="3"/>
      <c r="I92" s="3"/>
    </row>
    <row r="94" spans="2:9" ht="15.75" customHeight="1" x14ac:dyDescent="0.35">
      <c r="B94" s="26" t="s">
        <v>806</v>
      </c>
      <c r="C94" s="26"/>
      <c r="D94" s="26"/>
      <c r="E94" s="26"/>
      <c r="F94" s="26"/>
      <c r="G94" s="26"/>
      <c r="H94" s="26"/>
      <c r="I94" s="26"/>
    </row>
  </sheetData>
  <mergeCells count="106">
    <mergeCell ref="B92:D92"/>
    <mergeCell ref="E92:I92"/>
    <mergeCell ref="B94:I94"/>
    <mergeCell ref="B87:I87"/>
    <mergeCell ref="B88:D88"/>
    <mergeCell ref="E88:I88"/>
    <mergeCell ref="B89:D89"/>
    <mergeCell ref="E89:I89"/>
    <mergeCell ref="B90:D90"/>
    <mergeCell ref="E90:I90"/>
    <mergeCell ref="B91:D91"/>
    <mergeCell ref="E91:I91"/>
    <mergeCell ref="B81:D81"/>
    <mergeCell ref="E81:I81"/>
    <mergeCell ref="B82:D82"/>
    <mergeCell ref="E82:I82"/>
    <mergeCell ref="B83:D83"/>
    <mergeCell ref="E83:I83"/>
    <mergeCell ref="B84:D84"/>
    <mergeCell ref="E84:I84"/>
    <mergeCell ref="B85:D85"/>
    <mergeCell ref="E85:I85"/>
    <mergeCell ref="B75:D75"/>
    <mergeCell ref="E75:I75"/>
    <mergeCell ref="B76:D76"/>
    <mergeCell ref="E76:I76"/>
    <mergeCell ref="B77:D77"/>
    <mergeCell ref="E77:I77"/>
    <mergeCell ref="B78:D78"/>
    <mergeCell ref="E78:I78"/>
    <mergeCell ref="B80:I80"/>
    <mergeCell ref="B69:D69"/>
    <mergeCell ref="E69:I69"/>
    <mergeCell ref="B70:D70"/>
    <mergeCell ref="E70:I70"/>
    <mergeCell ref="B71:D71"/>
    <mergeCell ref="E71:I71"/>
    <mergeCell ref="B73:I73"/>
    <mergeCell ref="B74:D74"/>
    <mergeCell ref="E74:I74"/>
    <mergeCell ref="B63:D63"/>
    <mergeCell ref="E63:I63"/>
    <mergeCell ref="B64:D64"/>
    <mergeCell ref="E64:I64"/>
    <mergeCell ref="B66:I66"/>
    <mergeCell ref="B67:D67"/>
    <mergeCell ref="E67:I67"/>
    <mergeCell ref="B68:D68"/>
    <mergeCell ref="E68:I68"/>
    <mergeCell ref="B57:I57"/>
    <mergeCell ref="B58:I58"/>
    <mergeCell ref="B59:I59"/>
    <mergeCell ref="B60:D60"/>
    <mergeCell ref="E60:I60"/>
    <mergeCell ref="B61:D61"/>
    <mergeCell ref="E61:I61"/>
    <mergeCell ref="B62:D62"/>
    <mergeCell ref="E62:I62"/>
    <mergeCell ref="B52:D52"/>
    <mergeCell ref="E52:I52"/>
    <mergeCell ref="B53:D53"/>
    <mergeCell ref="E53:I53"/>
    <mergeCell ref="B54:D54"/>
    <mergeCell ref="E54:I54"/>
    <mergeCell ref="B55:D55"/>
    <mergeCell ref="E55:I55"/>
    <mergeCell ref="E56:I56"/>
    <mergeCell ref="B47:D47"/>
    <mergeCell ref="E47:I47"/>
    <mergeCell ref="B48:D48"/>
    <mergeCell ref="E48:I48"/>
    <mergeCell ref="B49:D49"/>
    <mergeCell ref="E49:I49"/>
    <mergeCell ref="B50:D50"/>
    <mergeCell ref="E50:I50"/>
    <mergeCell ref="B51:D51"/>
    <mergeCell ref="E51:I51"/>
    <mergeCell ref="B42:D42"/>
    <mergeCell ref="E42:I42"/>
    <mergeCell ref="B43:D43"/>
    <mergeCell ref="E43:I43"/>
    <mergeCell ref="B44:D44"/>
    <mergeCell ref="E44:I44"/>
    <mergeCell ref="B45:D45"/>
    <mergeCell ref="E45:I45"/>
    <mergeCell ref="B46:D46"/>
    <mergeCell ref="E46:I46"/>
    <mergeCell ref="B24:I24"/>
    <mergeCell ref="B28:I28"/>
    <mergeCell ref="B32:I32"/>
    <mergeCell ref="B37:I37"/>
    <mergeCell ref="B38:I38"/>
    <mergeCell ref="E39:I39"/>
    <mergeCell ref="B40:D40"/>
    <mergeCell ref="E40:I40"/>
    <mergeCell ref="B41:D41"/>
    <mergeCell ref="E41:I41"/>
    <mergeCell ref="B2:I2"/>
    <mergeCell ref="B3:I3"/>
    <mergeCell ref="B5:I5"/>
    <mergeCell ref="B6:I6"/>
    <mergeCell ref="B17:I17"/>
    <mergeCell ref="B18:I18"/>
    <mergeCell ref="D19:F19"/>
    <mergeCell ref="G19:H19"/>
    <mergeCell ref="B20:I20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I94"/>
  <sheetViews>
    <sheetView showGridLines="0" topLeftCell="E21" zoomScaleNormal="100" workbookViewId="0">
      <selection activeCell="E71" sqref="E71:I71"/>
    </sheetView>
  </sheetViews>
  <sheetFormatPr defaultColWidth="8.6328125" defaultRowHeight="14.5" x14ac:dyDescent="0.35"/>
  <cols>
    <col min="1" max="1" width="3" customWidth="1"/>
    <col min="2" max="2" width="12" customWidth="1"/>
    <col min="3" max="3" width="6" customWidth="1"/>
    <col min="4" max="4" width="64.81640625" bestFit="1" customWidth="1"/>
    <col min="5" max="5" width="65.1796875" customWidth="1"/>
    <col min="6" max="6" width="20" customWidth="1"/>
    <col min="7" max="7" width="21.6328125" bestFit="1" customWidth="1"/>
    <col min="8" max="8" width="60.26953125" customWidth="1"/>
    <col min="9" max="9" width="32.7265625" customWidth="1"/>
  </cols>
  <sheetData>
    <row r="1" spans="2:9" ht="13.5" customHeight="1" x14ac:dyDescent="0.35"/>
    <row r="2" spans="2:9" ht="33.75" customHeight="1" x14ac:dyDescent="0.35">
      <c r="B2" s="14" t="s">
        <v>807</v>
      </c>
      <c r="C2" s="14"/>
      <c r="D2" s="14"/>
      <c r="E2" s="14"/>
      <c r="F2" s="14"/>
      <c r="G2" s="14"/>
      <c r="H2" s="14"/>
      <c r="I2" s="14"/>
    </row>
    <row r="3" spans="2:9" ht="15.75" customHeight="1" x14ac:dyDescent="0.35">
      <c r="B3" s="13" t="s">
        <v>72</v>
      </c>
      <c r="C3" s="13"/>
      <c r="D3" s="13"/>
      <c r="E3" s="13"/>
      <c r="F3" s="13"/>
      <c r="G3" s="13"/>
      <c r="H3" s="13"/>
      <c r="I3" s="13"/>
    </row>
    <row r="5" spans="2:9" ht="21.75" customHeight="1" x14ac:dyDescent="0.35">
      <c r="B5" s="12" t="s">
        <v>73</v>
      </c>
      <c r="C5" s="12"/>
      <c r="D5" s="12"/>
      <c r="E5" s="12"/>
      <c r="F5" s="12"/>
      <c r="G5" s="12"/>
      <c r="H5" s="12"/>
      <c r="I5" s="12"/>
    </row>
    <row r="6" spans="2:9" ht="13.5" customHeight="1" x14ac:dyDescent="0.35">
      <c r="B6" s="11" t="s">
        <v>74</v>
      </c>
      <c r="C6" s="11"/>
      <c r="D6" s="11"/>
      <c r="E6" s="11"/>
      <c r="F6" s="11"/>
      <c r="G6" s="11"/>
      <c r="H6" s="11"/>
      <c r="I6" s="11"/>
    </row>
    <row r="7" spans="2:9" ht="19.5" customHeight="1" x14ac:dyDescent="0.35">
      <c r="B7" s="17" t="s">
        <v>75</v>
      </c>
      <c r="C7" s="17" t="s">
        <v>76</v>
      </c>
      <c r="D7" s="17" t="s">
        <v>77</v>
      </c>
      <c r="E7" s="17" t="s">
        <v>78</v>
      </c>
      <c r="F7" s="17" t="s">
        <v>79</v>
      </c>
      <c r="G7" s="17" t="s">
        <v>80</v>
      </c>
      <c r="H7" s="17" t="s">
        <v>81</v>
      </c>
      <c r="I7" s="17" t="s">
        <v>82</v>
      </c>
    </row>
    <row r="8" spans="2:9" ht="18" customHeight="1" x14ac:dyDescent="0.35">
      <c r="B8" s="15" t="s">
        <v>808</v>
      </c>
      <c r="C8" s="15" t="s">
        <v>52</v>
      </c>
      <c r="D8" s="15" t="s">
        <v>84</v>
      </c>
      <c r="E8" s="15" t="s">
        <v>809</v>
      </c>
      <c r="F8" s="15" t="s">
        <v>810</v>
      </c>
      <c r="G8" s="15" t="s">
        <v>93</v>
      </c>
      <c r="H8" s="15" t="s">
        <v>811</v>
      </c>
      <c r="I8" s="15" t="s">
        <v>812</v>
      </c>
    </row>
    <row r="9" spans="2:9" ht="18" customHeight="1" x14ac:dyDescent="0.35">
      <c r="B9" s="15" t="s">
        <v>808</v>
      </c>
      <c r="C9" s="15" t="s">
        <v>54</v>
      </c>
      <c r="D9" s="15" t="s">
        <v>108</v>
      </c>
      <c r="E9" s="15" t="s">
        <v>813</v>
      </c>
      <c r="F9" s="15" t="s">
        <v>814</v>
      </c>
      <c r="G9" s="15" t="s">
        <v>104</v>
      </c>
      <c r="H9" s="15" t="s">
        <v>815</v>
      </c>
      <c r="I9" s="15" t="s">
        <v>816</v>
      </c>
    </row>
    <row r="10" spans="2:9" ht="18" customHeight="1" x14ac:dyDescent="0.35">
      <c r="B10" s="15" t="s">
        <v>817</v>
      </c>
      <c r="C10" s="15" t="s">
        <v>56</v>
      </c>
      <c r="D10" s="15" t="s">
        <v>114</v>
      </c>
      <c r="E10" s="15" t="s">
        <v>818</v>
      </c>
      <c r="F10" s="15" t="s">
        <v>819</v>
      </c>
      <c r="G10" s="15" t="s">
        <v>93</v>
      </c>
      <c r="H10" s="15" t="s">
        <v>820</v>
      </c>
      <c r="I10" s="15" t="s">
        <v>821</v>
      </c>
    </row>
    <row r="11" spans="2:9" ht="18" customHeight="1" x14ac:dyDescent="0.35">
      <c r="B11" s="15" t="s">
        <v>822</v>
      </c>
      <c r="C11" s="15" t="s">
        <v>57</v>
      </c>
      <c r="D11" s="15" t="s">
        <v>84</v>
      </c>
      <c r="E11" s="15" t="s">
        <v>823</v>
      </c>
      <c r="F11" s="15" t="s">
        <v>662</v>
      </c>
      <c r="G11" s="15" t="s">
        <v>104</v>
      </c>
      <c r="H11" s="15" t="s">
        <v>824</v>
      </c>
      <c r="I11" s="15" t="s">
        <v>825</v>
      </c>
    </row>
    <row r="12" spans="2:9" ht="18" customHeight="1" x14ac:dyDescent="0.35">
      <c r="B12" s="15" t="s">
        <v>822</v>
      </c>
      <c r="C12" s="15" t="s">
        <v>58</v>
      </c>
      <c r="D12" s="15" t="s">
        <v>108</v>
      </c>
      <c r="E12" s="15" t="s">
        <v>826</v>
      </c>
      <c r="F12" s="15" t="s">
        <v>827</v>
      </c>
      <c r="G12" s="15" t="s">
        <v>87</v>
      </c>
      <c r="H12" s="15" t="s">
        <v>828</v>
      </c>
      <c r="I12" s="15" t="s">
        <v>829</v>
      </c>
    </row>
    <row r="13" spans="2:9" ht="18" customHeight="1" x14ac:dyDescent="0.35">
      <c r="B13" s="15" t="s">
        <v>830</v>
      </c>
      <c r="C13" s="15" t="s">
        <v>52</v>
      </c>
      <c r="D13" s="15" t="s">
        <v>114</v>
      </c>
      <c r="E13" s="15" t="s">
        <v>831</v>
      </c>
      <c r="F13" s="15" t="s">
        <v>832</v>
      </c>
      <c r="G13" s="15" t="s">
        <v>87</v>
      </c>
      <c r="H13" s="15" t="s">
        <v>833</v>
      </c>
      <c r="I13" s="15" t="s">
        <v>834</v>
      </c>
    </row>
    <row r="14" spans="2:9" ht="18" customHeight="1" x14ac:dyDescent="0.35">
      <c r="B14" s="15"/>
      <c r="C14" s="15"/>
      <c r="D14" s="15"/>
      <c r="E14" s="15"/>
      <c r="F14" s="15"/>
      <c r="G14" s="15"/>
      <c r="H14" s="15"/>
      <c r="I14" s="15"/>
    </row>
    <row r="15" spans="2:9" ht="18" customHeight="1" x14ac:dyDescent="0.35">
      <c r="B15" s="15"/>
      <c r="C15" s="15"/>
      <c r="D15" s="15"/>
      <c r="E15" s="15"/>
      <c r="F15" s="15"/>
      <c r="G15" s="15"/>
      <c r="H15" s="15"/>
      <c r="I15" s="15"/>
    </row>
    <row r="17" spans="2:9" ht="21.75" customHeight="1" x14ac:dyDescent="0.35">
      <c r="B17" s="10" t="s">
        <v>119</v>
      </c>
      <c r="C17" s="10"/>
      <c r="D17" s="10"/>
      <c r="E17" s="10"/>
      <c r="F17" s="10"/>
      <c r="G17" s="10"/>
      <c r="H17" s="10"/>
      <c r="I17" s="10"/>
    </row>
    <row r="18" spans="2:9" ht="13.5" customHeight="1" x14ac:dyDescent="0.35">
      <c r="B18" s="11" t="s">
        <v>31</v>
      </c>
      <c r="C18" s="11"/>
      <c r="D18" s="11"/>
      <c r="E18" s="11"/>
      <c r="F18" s="11"/>
      <c r="G18" s="11"/>
      <c r="H18" s="11"/>
      <c r="I18" s="11"/>
    </row>
    <row r="19" spans="2:9" ht="19.5" customHeight="1" x14ac:dyDescent="0.35">
      <c r="B19" s="21" t="s">
        <v>120</v>
      </c>
      <c r="C19" s="21" t="s">
        <v>76</v>
      </c>
      <c r="D19" s="9" t="s">
        <v>121</v>
      </c>
      <c r="E19" s="9"/>
      <c r="F19" s="9"/>
      <c r="G19" s="9" t="s">
        <v>122</v>
      </c>
      <c r="H19" s="9"/>
      <c r="I19" s="21" t="s">
        <v>51</v>
      </c>
    </row>
    <row r="20" spans="2:9" ht="15.75" customHeight="1" x14ac:dyDescent="0.35">
      <c r="B20" s="8" t="s">
        <v>123</v>
      </c>
      <c r="C20" s="8"/>
      <c r="D20" s="8"/>
      <c r="E20" s="8"/>
      <c r="F20" s="8"/>
      <c r="G20" s="8"/>
      <c r="H20" s="8"/>
      <c r="I20" s="8"/>
    </row>
    <row r="21" spans="2:9" ht="18" customHeight="1" x14ac:dyDescent="0.35">
      <c r="B21" s="15"/>
      <c r="C21" s="15" t="s">
        <v>52</v>
      </c>
      <c r="D21" s="15" t="s">
        <v>835</v>
      </c>
      <c r="E21" s="15"/>
      <c r="F21" s="15"/>
      <c r="G21" s="15" t="s">
        <v>810</v>
      </c>
      <c r="H21" s="15"/>
      <c r="I21" s="15"/>
    </row>
    <row r="22" spans="2:9" ht="18" customHeight="1" x14ac:dyDescent="0.35">
      <c r="B22" s="15"/>
      <c r="C22" s="15" t="s">
        <v>54</v>
      </c>
      <c r="D22" s="15" t="s">
        <v>836</v>
      </c>
      <c r="E22" s="15"/>
      <c r="F22" s="15"/>
      <c r="G22" s="15" t="s">
        <v>814</v>
      </c>
      <c r="H22" s="15"/>
      <c r="I22" s="15"/>
    </row>
    <row r="23" spans="2:9" ht="18" customHeight="1" x14ac:dyDescent="0.35">
      <c r="B23" s="15"/>
      <c r="C23" s="15" t="s">
        <v>56</v>
      </c>
      <c r="D23" s="15" t="s">
        <v>837</v>
      </c>
      <c r="E23" s="15"/>
      <c r="F23" s="15"/>
      <c r="G23" s="15" t="s">
        <v>819</v>
      </c>
      <c r="H23" s="15"/>
      <c r="I23" s="15"/>
    </row>
    <row r="24" spans="2:9" ht="15.75" customHeight="1" x14ac:dyDescent="0.35">
      <c r="B24" s="8" t="s">
        <v>132</v>
      </c>
      <c r="C24" s="8"/>
      <c r="D24" s="8"/>
      <c r="E24" s="8"/>
      <c r="F24" s="8"/>
      <c r="G24" s="8"/>
      <c r="H24" s="8"/>
      <c r="I24" s="8"/>
    </row>
    <row r="25" spans="2:9" ht="18" customHeight="1" x14ac:dyDescent="0.35">
      <c r="B25" s="15"/>
      <c r="C25" s="15" t="s">
        <v>57</v>
      </c>
      <c r="D25" s="15" t="s">
        <v>838</v>
      </c>
      <c r="E25" s="15"/>
      <c r="F25" s="15"/>
      <c r="G25" s="15" t="s">
        <v>672</v>
      </c>
      <c r="H25" s="15"/>
      <c r="I25" s="15" t="s">
        <v>839</v>
      </c>
    </row>
    <row r="26" spans="2:9" ht="18" customHeight="1" x14ac:dyDescent="0.35">
      <c r="B26" s="15"/>
      <c r="C26" s="15" t="s">
        <v>52</v>
      </c>
      <c r="D26" s="15" t="s">
        <v>840</v>
      </c>
      <c r="E26" s="15"/>
      <c r="F26" s="15"/>
      <c r="G26" s="15" t="s">
        <v>641</v>
      </c>
      <c r="H26" s="15"/>
      <c r="I26" s="15"/>
    </row>
    <row r="27" spans="2:9" ht="18" customHeight="1" x14ac:dyDescent="0.35">
      <c r="B27" s="15"/>
      <c r="C27" s="15" t="s">
        <v>54</v>
      </c>
      <c r="D27" s="15" t="s">
        <v>841</v>
      </c>
      <c r="E27" s="15"/>
      <c r="F27" s="15"/>
      <c r="G27" s="15" t="s">
        <v>842</v>
      </c>
      <c r="H27" s="15"/>
      <c r="I27" s="15"/>
    </row>
    <row r="28" spans="2:9" ht="15.75" customHeight="1" x14ac:dyDescent="0.35">
      <c r="B28" s="8" t="s">
        <v>138</v>
      </c>
      <c r="C28" s="8"/>
      <c r="D28" s="8"/>
      <c r="E28" s="8"/>
      <c r="F28" s="8"/>
      <c r="G28" s="8"/>
      <c r="H28" s="8"/>
      <c r="I28" s="8"/>
    </row>
    <row r="29" spans="2:9" ht="18" customHeight="1" x14ac:dyDescent="0.35">
      <c r="B29" s="15"/>
      <c r="C29" s="15" t="s">
        <v>56</v>
      </c>
      <c r="D29" s="15" t="s">
        <v>843</v>
      </c>
      <c r="E29" s="15"/>
      <c r="F29" s="15"/>
      <c r="G29" s="15" t="s">
        <v>819</v>
      </c>
      <c r="H29" s="15"/>
      <c r="I29" s="15" t="s">
        <v>844</v>
      </c>
    </row>
    <row r="30" spans="2:9" ht="18" customHeight="1" x14ac:dyDescent="0.35">
      <c r="B30" s="15"/>
      <c r="C30" s="15" t="s">
        <v>54</v>
      </c>
      <c r="D30" s="15" t="s">
        <v>845</v>
      </c>
      <c r="E30" s="15"/>
      <c r="F30" s="15"/>
      <c r="G30" s="15" t="s">
        <v>814</v>
      </c>
      <c r="H30" s="15"/>
      <c r="I30" s="15"/>
    </row>
    <row r="31" spans="2:9" ht="18" customHeight="1" x14ac:dyDescent="0.35">
      <c r="B31" s="15"/>
      <c r="C31" s="15"/>
      <c r="D31" s="15"/>
      <c r="E31" s="15"/>
      <c r="F31" s="15"/>
      <c r="G31" s="15"/>
      <c r="H31" s="15"/>
      <c r="I31" s="15"/>
    </row>
    <row r="32" spans="2:9" ht="15.75" customHeight="1" x14ac:dyDescent="0.35">
      <c r="B32" s="8" t="s">
        <v>143</v>
      </c>
      <c r="C32" s="8"/>
      <c r="D32" s="8"/>
      <c r="E32" s="8"/>
      <c r="F32" s="8"/>
      <c r="G32" s="8"/>
      <c r="H32" s="8"/>
      <c r="I32" s="8"/>
    </row>
    <row r="33" spans="2:9" ht="18" customHeight="1" x14ac:dyDescent="0.35">
      <c r="B33" s="15"/>
      <c r="C33" s="15" t="s">
        <v>57</v>
      </c>
      <c r="D33" s="15" t="s">
        <v>846</v>
      </c>
      <c r="E33" s="15"/>
      <c r="F33" s="15"/>
      <c r="G33" s="15" t="s">
        <v>672</v>
      </c>
      <c r="H33" s="15"/>
      <c r="I33" s="15"/>
    </row>
    <row r="34" spans="2:9" ht="18" customHeight="1" x14ac:dyDescent="0.35">
      <c r="B34" s="15"/>
      <c r="C34" s="15"/>
      <c r="D34" s="15"/>
      <c r="E34" s="15"/>
      <c r="F34" s="15"/>
      <c r="G34" s="15"/>
      <c r="H34" s="15"/>
      <c r="I34" s="15"/>
    </row>
    <row r="35" spans="2:9" ht="18" customHeight="1" x14ac:dyDescent="0.35">
      <c r="B35" s="15"/>
      <c r="C35" s="15"/>
      <c r="D35" s="15"/>
      <c r="E35" s="15"/>
      <c r="F35" s="15"/>
      <c r="G35" s="15"/>
      <c r="H35" s="15"/>
      <c r="I35" s="15"/>
    </row>
    <row r="37" spans="2:9" ht="21.75" customHeight="1" x14ac:dyDescent="0.35">
      <c r="B37" s="7" t="s">
        <v>144</v>
      </c>
      <c r="C37" s="7"/>
      <c r="D37" s="7"/>
      <c r="E37" s="7"/>
      <c r="F37" s="7"/>
      <c r="G37" s="7"/>
      <c r="H37" s="7"/>
      <c r="I37" s="7"/>
    </row>
    <row r="38" spans="2:9" ht="13.5" customHeight="1" x14ac:dyDescent="0.35">
      <c r="B38" s="11" t="s">
        <v>145</v>
      </c>
      <c r="C38" s="11"/>
      <c r="D38" s="11"/>
      <c r="E38" s="11"/>
      <c r="F38" s="11"/>
      <c r="G38" s="11"/>
      <c r="H38" s="11"/>
      <c r="I38" s="11"/>
    </row>
    <row r="39" spans="2:9" ht="19.5" customHeight="1" x14ac:dyDescent="0.35">
      <c r="B39" s="22" t="s">
        <v>146</v>
      </c>
      <c r="C39" s="22" t="s">
        <v>147</v>
      </c>
      <c r="D39" s="22" t="s">
        <v>148</v>
      </c>
      <c r="E39" s="6" t="s">
        <v>149</v>
      </c>
      <c r="F39" s="6"/>
      <c r="G39" s="6"/>
      <c r="H39" s="6"/>
      <c r="I39" s="6"/>
    </row>
    <row r="40" spans="2:9" ht="21.75" customHeight="1" x14ac:dyDescent="0.35">
      <c r="B40" s="5" t="s">
        <v>593</v>
      </c>
      <c r="C40" s="5"/>
      <c r="D40" s="5"/>
      <c r="E40" s="4" t="s">
        <v>847</v>
      </c>
      <c r="F40" s="4"/>
      <c r="G40" s="4"/>
      <c r="H40" s="4"/>
      <c r="I40" s="4"/>
    </row>
    <row r="41" spans="2:9" ht="21.75" customHeight="1" x14ac:dyDescent="0.35">
      <c r="B41" s="3" t="s">
        <v>152</v>
      </c>
      <c r="C41" s="3"/>
      <c r="D41" s="3"/>
      <c r="E41" s="4" t="s">
        <v>848</v>
      </c>
      <c r="F41" s="4"/>
      <c r="G41" s="4"/>
      <c r="H41" s="4"/>
      <c r="I41" s="4"/>
    </row>
    <row r="42" spans="2:9" ht="21.75" customHeight="1" x14ac:dyDescent="0.35">
      <c r="B42" s="3" t="s">
        <v>154</v>
      </c>
      <c r="C42" s="3"/>
      <c r="D42" s="3"/>
      <c r="E42" s="4" t="s">
        <v>849</v>
      </c>
      <c r="F42" s="4"/>
      <c r="G42" s="4"/>
      <c r="H42" s="4"/>
      <c r="I42" s="4"/>
    </row>
    <row r="43" spans="2:9" ht="21.75" customHeight="1" x14ac:dyDescent="0.35">
      <c r="B43" s="3" t="s">
        <v>156</v>
      </c>
      <c r="C43" s="3"/>
      <c r="D43" s="3"/>
      <c r="E43" s="4" t="s">
        <v>850</v>
      </c>
      <c r="F43" s="4"/>
      <c r="G43" s="4"/>
      <c r="H43" s="4"/>
      <c r="I43" s="4"/>
    </row>
    <row r="44" spans="2:9" ht="21.75" customHeight="1" x14ac:dyDescent="0.35">
      <c r="B44" s="5" t="s">
        <v>851</v>
      </c>
      <c r="C44" s="5"/>
      <c r="D44" s="5"/>
      <c r="E44" s="4" t="s">
        <v>852</v>
      </c>
      <c r="F44" s="4"/>
      <c r="G44" s="4"/>
      <c r="H44" s="4"/>
      <c r="I44" s="4"/>
    </row>
    <row r="45" spans="2:9" ht="21.75" customHeight="1" x14ac:dyDescent="0.35">
      <c r="B45" s="3" t="s">
        <v>152</v>
      </c>
      <c r="C45" s="3"/>
      <c r="D45" s="3"/>
      <c r="E45" s="4" t="s">
        <v>853</v>
      </c>
      <c r="F45" s="4"/>
      <c r="G45" s="4"/>
      <c r="H45" s="4"/>
      <c r="I45" s="4"/>
    </row>
    <row r="46" spans="2:9" ht="21.75" customHeight="1" x14ac:dyDescent="0.35">
      <c r="B46" s="3" t="s">
        <v>154</v>
      </c>
      <c r="C46" s="3"/>
      <c r="D46" s="3"/>
      <c r="E46" s="4" t="s">
        <v>854</v>
      </c>
      <c r="F46" s="4"/>
      <c r="G46" s="4"/>
      <c r="H46" s="4"/>
      <c r="I46" s="4"/>
    </row>
    <row r="47" spans="2:9" ht="21.75" customHeight="1" x14ac:dyDescent="0.35">
      <c r="B47" s="3" t="s">
        <v>156</v>
      </c>
      <c r="C47" s="3"/>
      <c r="D47" s="3"/>
      <c r="E47" s="4" t="s">
        <v>855</v>
      </c>
      <c r="F47" s="4"/>
      <c r="G47" s="4"/>
      <c r="H47" s="4"/>
      <c r="I47" s="4"/>
    </row>
    <row r="48" spans="2:9" ht="21.75" customHeight="1" x14ac:dyDescent="0.35">
      <c r="B48" s="5" t="s">
        <v>856</v>
      </c>
      <c r="C48" s="5"/>
      <c r="D48" s="5"/>
      <c r="E48" s="4" t="s">
        <v>857</v>
      </c>
      <c r="F48" s="4"/>
      <c r="G48" s="4"/>
      <c r="H48" s="4"/>
      <c r="I48" s="4"/>
    </row>
    <row r="49" spans="2:9" ht="21.75" customHeight="1" x14ac:dyDescent="0.35">
      <c r="B49" s="3" t="s">
        <v>152</v>
      </c>
      <c r="C49" s="3"/>
      <c r="D49" s="3"/>
      <c r="E49" s="4" t="s">
        <v>858</v>
      </c>
      <c r="F49" s="4"/>
      <c r="G49" s="4"/>
      <c r="H49" s="4"/>
      <c r="I49" s="4"/>
    </row>
    <row r="50" spans="2:9" ht="21.75" customHeight="1" x14ac:dyDescent="0.35">
      <c r="B50" s="3" t="s">
        <v>154</v>
      </c>
      <c r="C50" s="3"/>
      <c r="D50" s="3"/>
      <c r="E50" s="4" t="s">
        <v>859</v>
      </c>
      <c r="F50" s="4"/>
      <c r="G50" s="4"/>
      <c r="H50" s="4"/>
      <c r="I50" s="4"/>
    </row>
    <row r="51" spans="2:9" ht="21.75" customHeight="1" x14ac:dyDescent="0.35">
      <c r="B51" s="3" t="s">
        <v>156</v>
      </c>
      <c r="C51" s="3"/>
      <c r="D51" s="3"/>
      <c r="E51" s="4" t="s">
        <v>860</v>
      </c>
      <c r="F51" s="4"/>
      <c r="G51" s="4"/>
      <c r="H51" s="4"/>
      <c r="I51" s="4"/>
    </row>
    <row r="52" spans="2:9" ht="21.75" customHeight="1" x14ac:dyDescent="0.35">
      <c r="B52" s="5" t="s">
        <v>439</v>
      </c>
      <c r="C52" s="5"/>
      <c r="D52" s="5"/>
      <c r="E52" s="4" t="s">
        <v>861</v>
      </c>
      <c r="F52" s="4"/>
      <c r="G52" s="4"/>
      <c r="H52" s="4"/>
      <c r="I52" s="4"/>
    </row>
    <row r="53" spans="2:9" ht="21.75" customHeight="1" x14ac:dyDescent="0.35">
      <c r="B53" s="3" t="s">
        <v>152</v>
      </c>
      <c r="C53" s="3"/>
      <c r="D53" s="3"/>
      <c r="E53" s="4" t="s">
        <v>862</v>
      </c>
      <c r="F53" s="4"/>
      <c r="G53" s="4"/>
      <c r="H53" s="4"/>
      <c r="I53" s="4"/>
    </row>
    <row r="54" spans="2:9" ht="21.75" customHeight="1" x14ac:dyDescent="0.35">
      <c r="B54" s="3" t="s">
        <v>154</v>
      </c>
      <c r="C54" s="3"/>
      <c r="D54" s="3"/>
      <c r="E54" s="4" t="s">
        <v>863</v>
      </c>
      <c r="F54" s="4"/>
      <c r="G54" s="4"/>
      <c r="H54" s="4"/>
      <c r="I54" s="4"/>
    </row>
    <row r="55" spans="2:9" ht="21.75" customHeight="1" x14ac:dyDescent="0.35">
      <c r="B55" s="3" t="s">
        <v>156</v>
      </c>
      <c r="C55" s="3"/>
      <c r="D55" s="3"/>
      <c r="E55" s="4" t="s">
        <v>864</v>
      </c>
      <c r="F55" s="4"/>
      <c r="G55" s="4"/>
      <c r="H55" s="4"/>
      <c r="I55" s="4"/>
    </row>
    <row r="56" spans="2:9" x14ac:dyDescent="0.35">
      <c r="E56" s="4"/>
      <c r="F56" s="4"/>
      <c r="G56" s="4"/>
      <c r="H56" s="4"/>
      <c r="I56" s="4"/>
    </row>
    <row r="57" spans="2:9" ht="21.75" customHeight="1" x14ac:dyDescent="0.35">
      <c r="B57" s="2" t="s">
        <v>173</v>
      </c>
      <c r="C57" s="2"/>
      <c r="D57" s="2"/>
      <c r="E57" s="2"/>
      <c r="F57" s="2"/>
      <c r="G57" s="2"/>
      <c r="H57" s="2"/>
      <c r="I57" s="2"/>
    </row>
    <row r="58" spans="2:9" ht="13.5" customHeight="1" x14ac:dyDescent="0.35">
      <c r="B58" s="11" t="s">
        <v>174</v>
      </c>
      <c r="C58" s="11"/>
      <c r="D58" s="11"/>
      <c r="E58" s="11"/>
      <c r="F58" s="11"/>
      <c r="G58" s="11"/>
      <c r="H58" s="11"/>
      <c r="I58" s="11"/>
    </row>
    <row r="59" spans="2:9" ht="18" customHeight="1" x14ac:dyDescent="0.35">
      <c r="B59" s="1" t="s">
        <v>175</v>
      </c>
      <c r="C59" s="1"/>
      <c r="D59" s="1"/>
      <c r="E59" s="1"/>
      <c r="F59" s="1"/>
      <c r="G59" s="1"/>
      <c r="H59" s="1"/>
      <c r="I59" s="1"/>
    </row>
    <row r="60" spans="2:9" ht="18" customHeight="1" x14ac:dyDescent="0.35">
      <c r="B60" s="24" t="s">
        <v>176</v>
      </c>
      <c r="C60" s="24"/>
      <c r="D60" s="24"/>
      <c r="E60" s="25" t="s">
        <v>865</v>
      </c>
      <c r="F60" s="25"/>
      <c r="G60" s="25"/>
      <c r="H60" s="25"/>
      <c r="I60" s="25"/>
    </row>
    <row r="61" spans="2:9" ht="18" customHeight="1" x14ac:dyDescent="0.35">
      <c r="B61" s="24" t="s">
        <v>178</v>
      </c>
      <c r="C61" s="24"/>
      <c r="D61" s="24"/>
      <c r="E61" s="25" t="s">
        <v>866</v>
      </c>
      <c r="F61" s="25"/>
      <c r="G61" s="25"/>
      <c r="H61" s="25"/>
      <c r="I61" s="25"/>
    </row>
    <row r="62" spans="2:9" ht="18" customHeight="1" x14ac:dyDescent="0.35">
      <c r="B62" s="24" t="s">
        <v>180</v>
      </c>
      <c r="C62" s="24"/>
      <c r="D62" s="24"/>
      <c r="E62" s="25" t="s">
        <v>867</v>
      </c>
      <c r="F62" s="25"/>
      <c r="G62" s="25"/>
      <c r="H62" s="25"/>
      <c r="I62" s="25"/>
    </row>
    <row r="63" spans="2:9" ht="18" customHeight="1" x14ac:dyDescent="0.35">
      <c r="B63" s="24" t="s">
        <v>182</v>
      </c>
      <c r="C63" s="24"/>
      <c r="D63" s="24"/>
      <c r="E63" s="25" t="s">
        <v>868</v>
      </c>
      <c r="F63" s="25"/>
      <c r="G63" s="25"/>
      <c r="H63" s="25"/>
      <c r="I63" s="25"/>
    </row>
    <row r="64" spans="2:9" ht="18" customHeight="1" x14ac:dyDescent="0.35">
      <c r="B64" s="24" t="s">
        <v>184</v>
      </c>
      <c r="C64" s="24"/>
      <c r="D64" s="24"/>
      <c r="E64" s="25" t="s">
        <v>869</v>
      </c>
      <c r="F64" s="25"/>
      <c r="G64" s="25"/>
      <c r="H64" s="25"/>
      <c r="I64" s="25"/>
    </row>
    <row r="66" spans="2:9" ht="18" customHeight="1" x14ac:dyDescent="0.35">
      <c r="B66" s="1" t="s">
        <v>186</v>
      </c>
      <c r="C66" s="1"/>
      <c r="D66" s="1"/>
      <c r="E66" s="1"/>
      <c r="F66" s="1"/>
      <c r="G66" s="1"/>
      <c r="H66" s="1"/>
      <c r="I66" s="1"/>
    </row>
    <row r="67" spans="2:9" ht="18" customHeight="1" x14ac:dyDescent="0.35">
      <c r="B67" s="24" t="s">
        <v>176</v>
      </c>
      <c r="C67" s="24"/>
      <c r="D67" s="24"/>
      <c r="E67" s="25" t="s">
        <v>870</v>
      </c>
      <c r="F67" s="25"/>
      <c r="G67" s="25"/>
      <c r="H67" s="25"/>
      <c r="I67" s="25"/>
    </row>
    <row r="68" spans="2:9" ht="18" customHeight="1" x14ac:dyDescent="0.35">
      <c r="B68" s="24" t="s">
        <v>178</v>
      </c>
      <c r="C68" s="24"/>
      <c r="D68" s="24"/>
      <c r="E68" s="25" t="s">
        <v>871</v>
      </c>
      <c r="F68" s="25"/>
      <c r="G68" s="25"/>
      <c r="H68" s="25"/>
      <c r="I68" s="25"/>
    </row>
    <row r="69" spans="2:9" ht="18" customHeight="1" x14ac:dyDescent="0.35">
      <c r="B69" s="24" t="s">
        <v>180</v>
      </c>
      <c r="C69" s="24"/>
      <c r="D69" s="24"/>
      <c r="E69" s="25" t="s">
        <v>872</v>
      </c>
      <c r="F69" s="25"/>
      <c r="G69" s="25"/>
      <c r="H69" s="25"/>
      <c r="I69" s="25"/>
    </row>
    <row r="70" spans="2:9" ht="18" customHeight="1" x14ac:dyDescent="0.35">
      <c r="B70" s="24" t="s">
        <v>182</v>
      </c>
      <c r="C70" s="24"/>
      <c r="D70" s="24"/>
      <c r="E70" s="25" t="s">
        <v>873</v>
      </c>
      <c r="F70" s="25"/>
      <c r="G70" s="25"/>
      <c r="H70" s="25"/>
      <c r="I70" s="25"/>
    </row>
    <row r="71" spans="2:9" ht="18" customHeight="1" x14ac:dyDescent="0.35">
      <c r="B71" s="24" t="s">
        <v>184</v>
      </c>
      <c r="C71" s="24"/>
      <c r="D71" s="24"/>
      <c r="E71" s="25" t="s">
        <v>874</v>
      </c>
      <c r="F71" s="25"/>
      <c r="G71" s="25"/>
      <c r="H71" s="25"/>
      <c r="I71" s="25"/>
    </row>
    <row r="73" spans="2:9" ht="18" customHeight="1" x14ac:dyDescent="0.35">
      <c r="B73" s="1" t="s">
        <v>192</v>
      </c>
      <c r="C73" s="1"/>
      <c r="D73" s="1"/>
      <c r="E73" s="1"/>
      <c r="F73" s="1"/>
      <c r="G73" s="1"/>
      <c r="H73" s="1"/>
      <c r="I73" s="1"/>
    </row>
    <row r="74" spans="2:9" ht="18" customHeight="1" x14ac:dyDescent="0.35">
      <c r="B74" s="24" t="s">
        <v>176</v>
      </c>
      <c r="C74" s="24"/>
      <c r="D74" s="24"/>
      <c r="E74" s="3" t="s">
        <v>875</v>
      </c>
      <c r="F74" s="3"/>
      <c r="G74" s="3"/>
      <c r="H74" s="3"/>
      <c r="I74" s="3"/>
    </row>
    <row r="75" spans="2:9" ht="18" customHeight="1" x14ac:dyDescent="0.35">
      <c r="B75" s="24" t="s">
        <v>178</v>
      </c>
      <c r="C75" s="24"/>
      <c r="D75" s="24"/>
      <c r="E75" s="3" t="s">
        <v>876</v>
      </c>
      <c r="F75" s="3"/>
      <c r="G75" s="3"/>
      <c r="H75" s="3"/>
      <c r="I75" s="3"/>
    </row>
    <row r="76" spans="2:9" ht="18" customHeight="1" x14ac:dyDescent="0.35">
      <c r="B76" s="24" t="s">
        <v>180</v>
      </c>
      <c r="C76" s="24"/>
      <c r="D76" s="24"/>
      <c r="E76" s="3" t="s">
        <v>877</v>
      </c>
      <c r="F76" s="3"/>
      <c r="G76" s="3"/>
      <c r="H76" s="3"/>
      <c r="I76" s="3"/>
    </row>
    <row r="77" spans="2:9" ht="18" customHeight="1" x14ac:dyDescent="0.35">
      <c r="B77" s="24" t="s">
        <v>182</v>
      </c>
      <c r="C77" s="24"/>
      <c r="D77" s="24"/>
      <c r="E77" s="3" t="s">
        <v>878</v>
      </c>
      <c r="F77" s="3"/>
      <c r="G77" s="3"/>
      <c r="H77" s="3"/>
      <c r="I77" s="3"/>
    </row>
    <row r="78" spans="2:9" ht="18" customHeight="1" x14ac:dyDescent="0.35">
      <c r="B78" s="24" t="s">
        <v>184</v>
      </c>
      <c r="C78" s="24"/>
      <c r="D78" s="24"/>
      <c r="E78" s="3" t="s">
        <v>879</v>
      </c>
      <c r="F78" s="3"/>
      <c r="G78" s="3"/>
      <c r="H78" s="3"/>
      <c r="I78" s="3"/>
    </row>
    <row r="80" spans="2:9" ht="18" customHeight="1" x14ac:dyDescent="0.35">
      <c r="B80" s="1" t="s">
        <v>198</v>
      </c>
      <c r="C80" s="1"/>
      <c r="D80" s="1"/>
      <c r="E80" s="1"/>
      <c r="F80" s="1"/>
      <c r="G80" s="1"/>
      <c r="H80" s="1"/>
      <c r="I80" s="1"/>
    </row>
    <row r="81" spans="2:9" ht="18" customHeight="1" x14ac:dyDescent="0.35">
      <c r="B81" s="24" t="s">
        <v>176</v>
      </c>
      <c r="C81" s="24"/>
      <c r="D81" s="24"/>
      <c r="E81" s="3" t="s">
        <v>880</v>
      </c>
      <c r="F81" s="3"/>
      <c r="G81" s="3"/>
      <c r="H81" s="3"/>
      <c r="I81" s="3"/>
    </row>
    <row r="82" spans="2:9" ht="18" customHeight="1" x14ac:dyDescent="0.35">
      <c r="B82" s="24" t="s">
        <v>178</v>
      </c>
      <c r="C82" s="24"/>
      <c r="D82" s="24"/>
      <c r="E82" s="3" t="s">
        <v>881</v>
      </c>
      <c r="F82" s="3"/>
      <c r="G82" s="3"/>
      <c r="H82" s="3"/>
      <c r="I82" s="3"/>
    </row>
    <row r="83" spans="2:9" ht="18" customHeight="1" x14ac:dyDescent="0.35">
      <c r="B83" s="24" t="s">
        <v>180</v>
      </c>
      <c r="C83" s="24"/>
      <c r="D83" s="24"/>
      <c r="E83" s="3" t="s">
        <v>882</v>
      </c>
      <c r="F83" s="3"/>
      <c r="G83" s="3"/>
      <c r="H83" s="3"/>
      <c r="I83" s="3"/>
    </row>
    <row r="84" spans="2:9" ht="18" customHeight="1" x14ac:dyDescent="0.35">
      <c r="B84" s="24" t="s">
        <v>182</v>
      </c>
      <c r="C84" s="24"/>
      <c r="D84" s="24"/>
      <c r="E84" s="3" t="s">
        <v>883</v>
      </c>
      <c r="F84" s="3"/>
      <c r="G84" s="3"/>
      <c r="H84" s="3"/>
      <c r="I84" s="3"/>
    </row>
    <row r="85" spans="2:9" ht="18" customHeight="1" x14ac:dyDescent="0.35">
      <c r="B85" s="24" t="s">
        <v>184</v>
      </c>
      <c r="C85" s="24"/>
      <c r="D85" s="24"/>
      <c r="E85" s="3" t="s">
        <v>884</v>
      </c>
      <c r="F85" s="3"/>
      <c r="G85" s="3"/>
      <c r="H85" s="3"/>
      <c r="I85" s="3"/>
    </row>
    <row r="87" spans="2:9" ht="18" customHeight="1" x14ac:dyDescent="0.35">
      <c r="B87" s="1" t="s">
        <v>204</v>
      </c>
      <c r="C87" s="1"/>
      <c r="D87" s="1"/>
      <c r="E87" s="1"/>
      <c r="F87" s="1"/>
      <c r="G87" s="1"/>
      <c r="H87" s="1"/>
      <c r="I87" s="1"/>
    </row>
    <row r="88" spans="2:9" ht="18" customHeight="1" x14ac:dyDescent="0.35">
      <c r="B88" s="24" t="s">
        <v>176</v>
      </c>
      <c r="C88" s="24"/>
      <c r="D88" s="24"/>
      <c r="E88" s="3" t="s">
        <v>885</v>
      </c>
      <c r="F88" s="3"/>
      <c r="G88" s="3"/>
      <c r="H88" s="3"/>
      <c r="I88" s="3"/>
    </row>
    <row r="89" spans="2:9" ht="18" customHeight="1" x14ac:dyDescent="0.35">
      <c r="B89" s="24" t="s">
        <v>178</v>
      </c>
      <c r="C89" s="24"/>
      <c r="D89" s="24"/>
      <c r="E89" s="3" t="s">
        <v>886</v>
      </c>
      <c r="F89" s="3"/>
      <c r="G89" s="3"/>
      <c r="H89" s="3"/>
      <c r="I89" s="3"/>
    </row>
    <row r="90" spans="2:9" ht="18" customHeight="1" x14ac:dyDescent="0.35">
      <c r="B90" s="24" t="s">
        <v>180</v>
      </c>
      <c r="C90" s="24"/>
      <c r="D90" s="24"/>
      <c r="E90" s="3" t="s">
        <v>887</v>
      </c>
      <c r="F90" s="3"/>
      <c r="G90" s="3"/>
      <c r="H90" s="3"/>
      <c r="I90" s="3"/>
    </row>
    <row r="91" spans="2:9" ht="18" customHeight="1" x14ac:dyDescent="0.35">
      <c r="B91" s="24" t="s">
        <v>182</v>
      </c>
      <c r="C91" s="24"/>
      <c r="D91" s="24"/>
      <c r="E91" s="3" t="s">
        <v>888</v>
      </c>
      <c r="F91" s="3"/>
      <c r="G91" s="3"/>
      <c r="H91" s="3"/>
      <c r="I91" s="3"/>
    </row>
    <row r="92" spans="2:9" ht="18" customHeight="1" x14ac:dyDescent="0.35">
      <c r="B92" s="24" t="s">
        <v>184</v>
      </c>
      <c r="C92" s="24"/>
      <c r="D92" s="24"/>
      <c r="E92" s="3" t="s">
        <v>889</v>
      </c>
      <c r="F92" s="3"/>
      <c r="G92" s="3"/>
      <c r="H92" s="3"/>
      <c r="I92" s="3"/>
    </row>
    <row r="94" spans="2:9" ht="15.75" customHeight="1" x14ac:dyDescent="0.35">
      <c r="B94" s="26" t="s">
        <v>890</v>
      </c>
      <c r="C94" s="26"/>
      <c r="D94" s="26"/>
      <c r="E94" s="26"/>
      <c r="F94" s="26"/>
      <c r="G94" s="26"/>
      <c r="H94" s="26"/>
      <c r="I94" s="26"/>
    </row>
  </sheetData>
  <mergeCells count="106">
    <mergeCell ref="B92:D92"/>
    <mergeCell ref="E92:I92"/>
    <mergeCell ref="B94:I94"/>
    <mergeCell ref="B87:I87"/>
    <mergeCell ref="B88:D88"/>
    <mergeCell ref="E88:I88"/>
    <mergeCell ref="B89:D89"/>
    <mergeCell ref="E89:I89"/>
    <mergeCell ref="B90:D90"/>
    <mergeCell ref="E90:I90"/>
    <mergeCell ref="B91:D91"/>
    <mergeCell ref="E91:I91"/>
    <mergeCell ref="B81:D81"/>
    <mergeCell ref="E81:I81"/>
    <mergeCell ref="B82:D82"/>
    <mergeCell ref="E82:I82"/>
    <mergeCell ref="B83:D83"/>
    <mergeCell ref="E83:I83"/>
    <mergeCell ref="B84:D84"/>
    <mergeCell ref="E84:I84"/>
    <mergeCell ref="B85:D85"/>
    <mergeCell ref="E85:I85"/>
    <mergeCell ref="B75:D75"/>
    <mergeCell ref="E75:I75"/>
    <mergeCell ref="B76:D76"/>
    <mergeCell ref="E76:I76"/>
    <mergeCell ref="B77:D77"/>
    <mergeCell ref="E77:I77"/>
    <mergeCell ref="B78:D78"/>
    <mergeCell ref="E78:I78"/>
    <mergeCell ref="B80:I80"/>
    <mergeCell ref="B69:D69"/>
    <mergeCell ref="E69:I69"/>
    <mergeCell ref="B70:D70"/>
    <mergeCell ref="E70:I70"/>
    <mergeCell ref="B71:D71"/>
    <mergeCell ref="E71:I71"/>
    <mergeCell ref="B73:I73"/>
    <mergeCell ref="B74:D74"/>
    <mergeCell ref="E74:I74"/>
    <mergeCell ref="B63:D63"/>
    <mergeCell ref="E63:I63"/>
    <mergeCell ref="B64:D64"/>
    <mergeCell ref="E64:I64"/>
    <mergeCell ref="B66:I66"/>
    <mergeCell ref="B67:D67"/>
    <mergeCell ref="E67:I67"/>
    <mergeCell ref="B68:D68"/>
    <mergeCell ref="E68:I68"/>
    <mergeCell ref="B57:I57"/>
    <mergeCell ref="B58:I58"/>
    <mergeCell ref="B59:I59"/>
    <mergeCell ref="B60:D60"/>
    <mergeCell ref="E60:I60"/>
    <mergeCell ref="B61:D61"/>
    <mergeCell ref="E61:I61"/>
    <mergeCell ref="B62:D62"/>
    <mergeCell ref="E62:I62"/>
    <mergeCell ref="B52:D52"/>
    <mergeCell ref="E52:I52"/>
    <mergeCell ref="B53:D53"/>
    <mergeCell ref="E53:I53"/>
    <mergeCell ref="B54:D54"/>
    <mergeCell ref="E54:I54"/>
    <mergeCell ref="B55:D55"/>
    <mergeCell ref="E55:I55"/>
    <mergeCell ref="E56:I56"/>
    <mergeCell ref="B47:D47"/>
    <mergeCell ref="E47:I47"/>
    <mergeCell ref="B48:D48"/>
    <mergeCell ref="E48:I48"/>
    <mergeCell ref="B49:D49"/>
    <mergeCell ref="E49:I49"/>
    <mergeCell ref="B50:D50"/>
    <mergeCell ref="E50:I50"/>
    <mergeCell ref="B51:D51"/>
    <mergeCell ref="E51:I51"/>
    <mergeCell ref="B42:D42"/>
    <mergeCell ref="E42:I42"/>
    <mergeCell ref="B43:D43"/>
    <mergeCell ref="E43:I43"/>
    <mergeCell ref="B44:D44"/>
    <mergeCell ref="E44:I44"/>
    <mergeCell ref="B45:D45"/>
    <mergeCell ref="E45:I45"/>
    <mergeCell ref="B46:D46"/>
    <mergeCell ref="E46:I46"/>
    <mergeCell ref="B24:I24"/>
    <mergeCell ref="B28:I28"/>
    <mergeCell ref="B32:I32"/>
    <mergeCell ref="B37:I37"/>
    <mergeCell ref="B38:I38"/>
    <mergeCell ref="E39:I39"/>
    <mergeCell ref="B40:D40"/>
    <mergeCell ref="E40:I40"/>
    <mergeCell ref="B41:D41"/>
    <mergeCell ref="E41:I41"/>
    <mergeCell ref="B2:I2"/>
    <mergeCell ref="B3:I3"/>
    <mergeCell ref="B5:I5"/>
    <mergeCell ref="B6:I6"/>
    <mergeCell ref="B17:I17"/>
    <mergeCell ref="B18:I18"/>
    <mergeCell ref="D19:F19"/>
    <mergeCell ref="G19:H19"/>
    <mergeCell ref="B20:I20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I94"/>
  <sheetViews>
    <sheetView showGridLines="0" tabSelected="1" topLeftCell="E35" zoomScaleNormal="100" workbookViewId="0">
      <selection activeCell="E71" sqref="E71:I71"/>
    </sheetView>
  </sheetViews>
  <sheetFormatPr defaultColWidth="8.6328125" defaultRowHeight="14.5" x14ac:dyDescent="0.35"/>
  <cols>
    <col min="1" max="1" width="3" customWidth="1"/>
    <col min="2" max="2" width="12" customWidth="1"/>
    <col min="3" max="3" width="6" customWidth="1"/>
    <col min="4" max="4" width="59.81640625" bestFit="1" customWidth="1"/>
    <col min="5" max="5" width="61.453125" customWidth="1"/>
    <col min="6" max="6" width="29" customWidth="1"/>
    <col min="7" max="7" width="27.7265625" customWidth="1"/>
    <col min="8" max="8" width="57.7265625" customWidth="1"/>
    <col min="9" max="9" width="31.1796875" bestFit="1" customWidth="1"/>
  </cols>
  <sheetData>
    <row r="1" spans="2:9" ht="13.5" customHeight="1" x14ac:dyDescent="0.35"/>
    <row r="2" spans="2:9" ht="33.75" customHeight="1" x14ac:dyDescent="0.35">
      <c r="B2" s="14" t="s">
        <v>891</v>
      </c>
      <c r="C2" s="14"/>
      <c r="D2" s="14"/>
      <c r="E2" s="14"/>
      <c r="F2" s="14"/>
      <c r="G2" s="14"/>
      <c r="H2" s="14"/>
      <c r="I2" s="14"/>
    </row>
    <row r="3" spans="2:9" ht="15.75" customHeight="1" x14ac:dyDescent="0.35">
      <c r="B3" s="13" t="s">
        <v>72</v>
      </c>
      <c r="C3" s="13"/>
      <c r="D3" s="13"/>
      <c r="E3" s="13"/>
      <c r="F3" s="13"/>
      <c r="G3" s="13"/>
      <c r="H3" s="13"/>
      <c r="I3" s="13"/>
    </row>
    <row r="5" spans="2:9" ht="21.75" customHeight="1" x14ac:dyDescent="0.35">
      <c r="B5" s="12" t="s">
        <v>73</v>
      </c>
      <c r="C5" s="12"/>
      <c r="D5" s="12"/>
      <c r="E5" s="12"/>
      <c r="F5" s="12"/>
      <c r="G5" s="12"/>
      <c r="H5" s="12"/>
      <c r="I5" s="12"/>
    </row>
    <row r="6" spans="2:9" ht="13.5" customHeight="1" x14ac:dyDescent="0.35">
      <c r="B6" s="11" t="s">
        <v>74</v>
      </c>
      <c r="C6" s="11"/>
      <c r="D6" s="11"/>
      <c r="E6" s="11"/>
      <c r="F6" s="11"/>
      <c r="G6" s="11"/>
      <c r="H6" s="11"/>
      <c r="I6" s="11"/>
    </row>
    <row r="7" spans="2:9" ht="19.5" customHeight="1" x14ac:dyDescent="0.35">
      <c r="B7" s="17" t="s">
        <v>75</v>
      </c>
      <c r="C7" s="17" t="s">
        <v>76</v>
      </c>
      <c r="D7" s="17" t="s">
        <v>77</v>
      </c>
      <c r="E7" s="17" t="s">
        <v>78</v>
      </c>
      <c r="F7" s="17" t="s">
        <v>79</v>
      </c>
      <c r="G7" s="17" t="s">
        <v>80</v>
      </c>
      <c r="H7" s="17" t="s">
        <v>81</v>
      </c>
      <c r="I7" s="17" t="s">
        <v>82</v>
      </c>
    </row>
    <row r="8" spans="2:9" ht="18" customHeight="1" x14ac:dyDescent="0.35">
      <c r="B8" s="15" t="s">
        <v>892</v>
      </c>
      <c r="C8" s="15" t="s">
        <v>52</v>
      </c>
      <c r="D8" s="15" t="s">
        <v>84</v>
      </c>
      <c r="E8" s="15" t="s">
        <v>893</v>
      </c>
      <c r="F8" s="15" t="s">
        <v>894</v>
      </c>
      <c r="G8" s="15" t="s">
        <v>93</v>
      </c>
      <c r="H8" s="15" t="s">
        <v>895</v>
      </c>
      <c r="I8" s="15" t="s">
        <v>896</v>
      </c>
    </row>
    <row r="9" spans="2:9" ht="18" customHeight="1" x14ac:dyDescent="0.35">
      <c r="B9" s="15" t="s">
        <v>892</v>
      </c>
      <c r="C9" s="15" t="s">
        <v>54</v>
      </c>
      <c r="D9" s="15" t="s">
        <v>108</v>
      </c>
      <c r="E9" s="15" t="s">
        <v>897</v>
      </c>
      <c r="F9" s="15" t="s">
        <v>898</v>
      </c>
      <c r="G9" s="15" t="s">
        <v>87</v>
      </c>
      <c r="H9" s="15" t="s">
        <v>899</v>
      </c>
      <c r="I9" s="15" t="s">
        <v>900</v>
      </c>
    </row>
    <row r="10" spans="2:9" ht="18" customHeight="1" x14ac:dyDescent="0.35">
      <c r="B10" s="15" t="s">
        <v>901</v>
      </c>
      <c r="C10" s="15" t="s">
        <v>56</v>
      </c>
      <c r="D10" s="15" t="s">
        <v>84</v>
      </c>
      <c r="E10" s="15" t="s">
        <v>902</v>
      </c>
      <c r="F10" s="15" t="s">
        <v>248</v>
      </c>
      <c r="G10" s="15" t="s">
        <v>104</v>
      </c>
      <c r="H10" s="15" t="s">
        <v>903</v>
      </c>
      <c r="I10" s="15" t="s">
        <v>904</v>
      </c>
    </row>
    <row r="11" spans="2:9" ht="18" customHeight="1" x14ac:dyDescent="0.35">
      <c r="B11" s="15" t="s">
        <v>901</v>
      </c>
      <c r="C11" s="15" t="s">
        <v>57</v>
      </c>
      <c r="D11" s="15" t="s">
        <v>114</v>
      </c>
      <c r="E11" s="15" t="s">
        <v>905</v>
      </c>
      <c r="F11" s="15" t="s">
        <v>906</v>
      </c>
      <c r="G11" s="15" t="s">
        <v>93</v>
      </c>
      <c r="H11" s="15" t="s">
        <v>907</v>
      </c>
      <c r="I11" s="15" t="s">
        <v>908</v>
      </c>
    </row>
    <row r="12" spans="2:9" ht="18" customHeight="1" x14ac:dyDescent="0.35">
      <c r="B12" s="15" t="s">
        <v>909</v>
      </c>
      <c r="C12" s="15" t="s">
        <v>58</v>
      </c>
      <c r="D12" s="15" t="s">
        <v>84</v>
      </c>
      <c r="E12" s="15" t="s">
        <v>910</v>
      </c>
      <c r="F12" s="15" t="s">
        <v>576</v>
      </c>
      <c r="G12" s="15" t="s">
        <v>104</v>
      </c>
      <c r="H12" s="15" t="s">
        <v>911</v>
      </c>
      <c r="I12" s="15" t="s">
        <v>912</v>
      </c>
    </row>
    <row r="13" spans="2:9" ht="18" customHeight="1" x14ac:dyDescent="0.35">
      <c r="B13" s="15" t="s">
        <v>913</v>
      </c>
      <c r="C13" s="15" t="s">
        <v>52</v>
      </c>
      <c r="D13" s="15" t="s">
        <v>108</v>
      </c>
      <c r="E13" s="15" t="s">
        <v>914</v>
      </c>
      <c r="F13" s="15" t="s">
        <v>116</v>
      </c>
      <c r="G13" s="15" t="s">
        <v>87</v>
      </c>
      <c r="H13" s="15" t="s">
        <v>915</v>
      </c>
      <c r="I13" s="15" t="s">
        <v>916</v>
      </c>
    </row>
    <row r="14" spans="2:9" ht="18" customHeight="1" x14ac:dyDescent="0.35">
      <c r="B14" s="15"/>
      <c r="C14" s="15"/>
      <c r="D14" s="15"/>
      <c r="E14" s="15"/>
      <c r="F14" s="15"/>
      <c r="G14" s="15"/>
      <c r="H14" s="15"/>
      <c r="I14" s="15"/>
    </row>
    <row r="15" spans="2:9" ht="18" customHeight="1" x14ac:dyDescent="0.35">
      <c r="B15" s="15"/>
      <c r="C15" s="15"/>
      <c r="D15" s="15"/>
      <c r="E15" s="15"/>
      <c r="F15" s="15"/>
      <c r="G15" s="15"/>
      <c r="H15" s="15"/>
      <c r="I15" s="15"/>
    </row>
    <row r="17" spans="2:9" ht="21.75" customHeight="1" x14ac:dyDescent="0.35">
      <c r="B17" s="10" t="s">
        <v>119</v>
      </c>
      <c r="C17" s="10"/>
      <c r="D17" s="10"/>
      <c r="E17" s="10"/>
      <c r="F17" s="10"/>
      <c r="G17" s="10"/>
      <c r="H17" s="10"/>
      <c r="I17" s="10"/>
    </row>
    <row r="18" spans="2:9" ht="13.5" customHeight="1" x14ac:dyDescent="0.35">
      <c r="B18" s="11" t="s">
        <v>31</v>
      </c>
      <c r="C18" s="11"/>
      <c r="D18" s="11"/>
      <c r="E18" s="11"/>
      <c r="F18" s="11"/>
      <c r="G18" s="11"/>
      <c r="H18" s="11"/>
      <c r="I18" s="11"/>
    </row>
    <row r="19" spans="2:9" ht="19.5" customHeight="1" x14ac:dyDescent="0.35">
      <c r="B19" s="21" t="s">
        <v>120</v>
      </c>
      <c r="C19" s="21" t="s">
        <v>76</v>
      </c>
      <c r="D19" s="9" t="s">
        <v>121</v>
      </c>
      <c r="E19" s="9"/>
      <c r="F19" s="9"/>
      <c r="G19" s="9" t="s">
        <v>122</v>
      </c>
      <c r="H19" s="9"/>
      <c r="I19" s="21" t="s">
        <v>51</v>
      </c>
    </row>
    <row r="20" spans="2:9" ht="15.75" customHeight="1" x14ac:dyDescent="0.35">
      <c r="B20" s="8" t="s">
        <v>123</v>
      </c>
      <c r="C20" s="8"/>
      <c r="D20" s="8"/>
      <c r="E20" s="8"/>
      <c r="F20" s="8"/>
      <c r="G20" s="8"/>
      <c r="H20" s="8"/>
      <c r="I20" s="8"/>
    </row>
    <row r="21" spans="2:9" ht="18" customHeight="1" x14ac:dyDescent="0.35">
      <c r="B21" s="15"/>
      <c r="C21" s="15" t="s">
        <v>52</v>
      </c>
      <c r="D21" s="15" t="s">
        <v>917</v>
      </c>
      <c r="E21" s="15"/>
      <c r="F21" s="15"/>
      <c r="G21" s="15" t="s">
        <v>918</v>
      </c>
      <c r="H21" s="15"/>
      <c r="I21" s="15" t="s">
        <v>919</v>
      </c>
    </row>
    <row r="22" spans="2:9" ht="18" customHeight="1" x14ac:dyDescent="0.35">
      <c r="B22" s="15"/>
      <c r="C22" s="15" t="s">
        <v>57</v>
      </c>
      <c r="D22" s="15" t="s">
        <v>920</v>
      </c>
      <c r="E22" s="15"/>
      <c r="F22" s="15"/>
      <c r="G22" s="15" t="s">
        <v>921</v>
      </c>
      <c r="H22" s="15"/>
      <c r="I22" s="15" t="s">
        <v>922</v>
      </c>
    </row>
    <row r="23" spans="2:9" ht="18" customHeight="1" x14ac:dyDescent="0.35">
      <c r="B23" s="15"/>
      <c r="C23" s="15" t="s">
        <v>58</v>
      </c>
      <c r="D23" s="15" t="s">
        <v>923</v>
      </c>
      <c r="E23" s="15"/>
      <c r="F23" s="15"/>
      <c r="G23" s="15" t="s">
        <v>576</v>
      </c>
      <c r="H23" s="15"/>
      <c r="I23" s="15" t="s">
        <v>924</v>
      </c>
    </row>
    <row r="24" spans="2:9" ht="15.75" customHeight="1" x14ac:dyDescent="0.35">
      <c r="B24" s="8" t="s">
        <v>132</v>
      </c>
      <c r="C24" s="8"/>
      <c r="D24" s="8"/>
      <c r="E24" s="8"/>
      <c r="F24" s="8"/>
      <c r="G24" s="8"/>
      <c r="H24" s="8"/>
      <c r="I24" s="8"/>
    </row>
    <row r="25" spans="2:9" ht="18" customHeight="1" x14ac:dyDescent="0.35">
      <c r="B25" s="15"/>
      <c r="C25" s="15" t="s">
        <v>56</v>
      </c>
      <c r="D25" s="15" t="s">
        <v>925</v>
      </c>
      <c r="E25" s="15"/>
      <c r="F25" s="15"/>
      <c r="G25" s="15" t="s">
        <v>248</v>
      </c>
      <c r="H25" s="15"/>
      <c r="I25" s="15" t="s">
        <v>926</v>
      </c>
    </row>
    <row r="26" spans="2:9" ht="18" customHeight="1" x14ac:dyDescent="0.35">
      <c r="B26" s="15"/>
      <c r="C26" s="15" t="s">
        <v>52</v>
      </c>
      <c r="D26" s="15" t="s">
        <v>927</v>
      </c>
      <c r="E26" s="15"/>
      <c r="F26" s="15"/>
      <c r="G26" s="15" t="s">
        <v>116</v>
      </c>
      <c r="H26" s="15"/>
      <c r="I26" s="15"/>
    </row>
    <row r="27" spans="2:9" ht="18" customHeight="1" x14ac:dyDescent="0.35">
      <c r="B27" s="15"/>
      <c r="C27" s="15" t="s">
        <v>54</v>
      </c>
      <c r="D27" s="15" t="s">
        <v>928</v>
      </c>
      <c r="E27" s="15"/>
      <c r="F27" s="15"/>
      <c r="G27" s="15" t="s">
        <v>929</v>
      </c>
      <c r="H27" s="15"/>
      <c r="I27" s="15"/>
    </row>
    <row r="28" spans="2:9" ht="15.75" customHeight="1" x14ac:dyDescent="0.35">
      <c r="B28" s="8" t="s">
        <v>138</v>
      </c>
      <c r="C28" s="8"/>
      <c r="D28" s="8"/>
      <c r="E28" s="8"/>
      <c r="F28" s="8"/>
      <c r="G28" s="8"/>
      <c r="H28" s="8"/>
      <c r="I28" s="8"/>
    </row>
    <row r="29" spans="2:9" ht="18" customHeight="1" x14ac:dyDescent="0.35">
      <c r="B29" s="15"/>
      <c r="C29" s="15" t="s">
        <v>58</v>
      </c>
      <c r="D29" s="15" t="s">
        <v>930</v>
      </c>
      <c r="E29" s="15"/>
      <c r="F29" s="15"/>
      <c r="G29" s="15" t="s">
        <v>931</v>
      </c>
      <c r="H29" s="15"/>
      <c r="I29" s="15" t="s">
        <v>932</v>
      </c>
    </row>
    <row r="30" spans="2:9" ht="18" customHeight="1" x14ac:dyDescent="0.35">
      <c r="B30" s="15"/>
      <c r="C30" s="15" t="s">
        <v>56</v>
      </c>
      <c r="D30" s="15" t="s">
        <v>933</v>
      </c>
      <c r="E30" s="15"/>
      <c r="F30" s="15"/>
      <c r="G30" s="15" t="s">
        <v>248</v>
      </c>
      <c r="H30" s="15"/>
      <c r="I30" s="15" t="s">
        <v>934</v>
      </c>
    </row>
    <row r="31" spans="2:9" ht="18" customHeight="1" x14ac:dyDescent="0.35">
      <c r="B31" s="15"/>
      <c r="C31" s="15"/>
      <c r="D31" s="15"/>
      <c r="E31" s="15"/>
      <c r="F31" s="15"/>
      <c r="G31" s="15"/>
      <c r="H31" s="15"/>
      <c r="I31" s="15"/>
    </row>
    <row r="32" spans="2:9" ht="15.75" customHeight="1" x14ac:dyDescent="0.35">
      <c r="B32" s="8" t="s">
        <v>143</v>
      </c>
      <c r="C32" s="8"/>
      <c r="D32" s="8"/>
      <c r="E32" s="8"/>
      <c r="F32" s="8"/>
      <c r="G32" s="8"/>
      <c r="H32" s="8"/>
      <c r="I32" s="8"/>
    </row>
    <row r="33" spans="2:9" ht="18" customHeight="1" x14ac:dyDescent="0.35">
      <c r="B33" s="15"/>
      <c r="C33" s="15" t="s">
        <v>54</v>
      </c>
      <c r="D33" s="15" t="s">
        <v>935</v>
      </c>
      <c r="E33" s="15"/>
      <c r="F33" s="15"/>
      <c r="G33" s="15" t="s">
        <v>936</v>
      </c>
      <c r="H33" s="15"/>
      <c r="I33" s="15"/>
    </row>
    <row r="34" spans="2:9" ht="18" customHeight="1" x14ac:dyDescent="0.35">
      <c r="B34" s="15"/>
      <c r="C34" s="15"/>
      <c r="D34" s="15"/>
      <c r="E34" s="15"/>
      <c r="F34" s="15"/>
      <c r="G34" s="15"/>
      <c r="H34" s="15"/>
      <c r="I34" s="15"/>
    </row>
    <row r="35" spans="2:9" ht="18" customHeight="1" x14ac:dyDescent="0.35">
      <c r="B35" s="15"/>
      <c r="C35" s="15"/>
      <c r="D35" s="15"/>
      <c r="E35" s="15"/>
      <c r="F35" s="15"/>
      <c r="G35" s="15"/>
      <c r="H35" s="15"/>
      <c r="I35" s="15"/>
    </row>
    <row r="37" spans="2:9" ht="21.75" customHeight="1" x14ac:dyDescent="0.35">
      <c r="B37" s="7" t="s">
        <v>144</v>
      </c>
      <c r="C37" s="7"/>
      <c r="D37" s="7"/>
      <c r="E37" s="7"/>
      <c r="F37" s="7"/>
      <c r="G37" s="7"/>
      <c r="H37" s="7"/>
      <c r="I37" s="7"/>
    </row>
    <row r="38" spans="2:9" ht="13.5" customHeight="1" x14ac:dyDescent="0.35">
      <c r="B38" s="11" t="s">
        <v>145</v>
      </c>
      <c r="C38" s="11"/>
      <c r="D38" s="11"/>
      <c r="E38" s="11"/>
      <c r="F38" s="11"/>
      <c r="G38" s="11"/>
      <c r="H38" s="11"/>
      <c r="I38" s="11"/>
    </row>
    <row r="39" spans="2:9" ht="19.5" customHeight="1" x14ac:dyDescent="0.35">
      <c r="B39" s="22" t="s">
        <v>146</v>
      </c>
      <c r="C39" s="22" t="s">
        <v>147</v>
      </c>
      <c r="D39" s="22" t="s">
        <v>148</v>
      </c>
      <c r="E39" s="6" t="s">
        <v>149</v>
      </c>
      <c r="F39" s="6"/>
      <c r="G39" s="6"/>
      <c r="H39" s="6"/>
      <c r="I39" s="6"/>
    </row>
    <row r="40" spans="2:9" ht="21.75" customHeight="1" x14ac:dyDescent="0.35">
      <c r="B40" s="5" t="s">
        <v>593</v>
      </c>
      <c r="C40" s="5"/>
      <c r="D40" s="5"/>
      <c r="E40" s="4" t="s">
        <v>937</v>
      </c>
      <c r="F40" s="4"/>
      <c r="G40" s="4"/>
      <c r="H40" s="4"/>
      <c r="I40" s="4"/>
    </row>
    <row r="41" spans="2:9" ht="21.75" customHeight="1" x14ac:dyDescent="0.35">
      <c r="B41" s="3" t="s">
        <v>152</v>
      </c>
      <c r="C41" s="3"/>
      <c r="D41" s="3"/>
      <c r="E41" s="4" t="s">
        <v>938</v>
      </c>
      <c r="F41" s="4"/>
      <c r="G41" s="4"/>
      <c r="H41" s="4"/>
      <c r="I41" s="4"/>
    </row>
    <row r="42" spans="2:9" ht="21.75" customHeight="1" x14ac:dyDescent="0.35">
      <c r="B42" s="3" t="s">
        <v>154</v>
      </c>
      <c r="C42" s="3"/>
      <c r="D42" s="3"/>
      <c r="E42" s="4" t="s">
        <v>939</v>
      </c>
      <c r="F42" s="4"/>
      <c r="G42" s="4"/>
      <c r="H42" s="4"/>
      <c r="I42" s="4"/>
    </row>
    <row r="43" spans="2:9" ht="21.75" customHeight="1" x14ac:dyDescent="0.35">
      <c r="B43" s="3" t="s">
        <v>156</v>
      </c>
      <c r="C43" s="3"/>
      <c r="D43" s="3"/>
      <c r="E43" s="4" t="s">
        <v>940</v>
      </c>
      <c r="F43" s="4"/>
      <c r="G43" s="4"/>
      <c r="H43" s="4"/>
      <c r="I43" s="4"/>
    </row>
    <row r="44" spans="2:9" ht="21.75" customHeight="1" x14ac:dyDescent="0.35">
      <c r="B44" s="5" t="s">
        <v>512</v>
      </c>
      <c r="C44" s="5"/>
      <c r="D44" s="5"/>
      <c r="E44" s="4" t="s">
        <v>941</v>
      </c>
      <c r="F44" s="4"/>
      <c r="G44" s="4"/>
      <c r="H44" s="4"/>
      <c r="I44" s="4"/>
    </row>
    <row r="45" spans="2:9" ht="21.75" customHeight="1" x14ac:dyDescent="0.35">
      <c r="B45" s="3" t="s">
        <v>152</v>
      </c>
      <c r="C45" s="3"/>
      <c r="D45" s="3"/>
      <c r="E45" s="4" t="s">
        <v>942</v>
      </c>
      <c r="F45" s="4"/>
      <c r="G45" s="4"/>
      <c r="H45" s="4"/>
      <c r="I45" s="4"/>
    </row>
    <row r="46" spans="2:9" ht="21.75" customHeight="1" x14ac:dyDescent="0.35">
      <c r="B46" s="3" t="s">
        <v>154</v>
      </c>
      <c r="C46" s="3"/>
      <c r="D46" s="3"/>
      <c r="E46" s="4" t="s">
        <v>943</v>
      </c>
      <c r="F46" s="4"/>
      <c r="G46" s="4"/>
      <c r="H46" s="4"/>
      <c r="I46" s="4"/>
    </row>
    <row r="47" spans="2:9" ht="21.75" customHeight="1" x14ac:dyDescent="0.35">
      <c r="B47" s="3" t="s">
        <v>156</v>
      </c>
      <c r="C47" s="3"/>
      <c r="D47" s="3"/>
      <c r="E47" s="4" t="s">
        <v>944</v>
      </c>
      <c r="F47" s="4"/>
      <c r="G47" s="4"/>
      <c r="H47" s="4"/>
      <c r="I47" s="4"/>
    </row>
    <row r="48" spans="2:9" ht="21.75" customHeight="1" x14ac:dyDescent="0.35">
      <c r="B48" s="5" t="s">
        <v>517</v>
      </c>
      <c r="C48" s="5"/>
      <c r="D48" s="5"/>
      <c r="E48" s="4" t="s">
        <v>945</v>
      </c>
      <c r="F48" s="4"/>
      <c r="G48" s="4"/>
      <c r="H48" s="4"/>
      <c r="I48" s="4"/>
    </row>
    <row r="49" spans="2:9" ht="21.75" customHeight="1" x14ac:dyDescent="0.35">
      <c r="B49" s="3" t="s">
        <v>152</v>
      </c>
      <c r="C49" s="3"/>
      <c r="D49" s="3"/>
      <c r="E49" s="4" t="s">
        <v>946</v>
      </c>
      <c r="F49" s="4"/>
      <c r="G49" s="4"/>
      <c r="H49" s="4"/>
      <c r="I49" s="4"/>
    </row>
    <row r="50" spans="2:9" ht="21.75" customHeight="1" x14ac:dyDescent="0.35">
      <c r="B50" s="3" t="s">
        <v>154</v>
      </c>
      <c r="C50" s="3"/>
      <c r="D50" s="3"/>
      <c r="E50" s="4" t="s">
        <v>947</v>
      </c>
      <c r="F50" s="4"/>
      <c r="G50" s="4"/>
      <c r="H50" s="4"/>
      <c r="I50" s="4"/>
    </row>
    <row r="51" spans="2:9" ht="21.75" customHeight="1" x14ac:dyDescent="0.35">
      <c r="B51" s="3" t="s">
        <v>156</v>
      </c>
      <c r="C51" s="3"/>
      <c r="D51" s="3"/>
      <c r="E51" s="4" t="s">
        <v>948</v>
      </c>
      <c r="F51" s="4"/>
      <c r="G51" s="4"/>
      <c r="H51" s="4"/>
      <c r="I51" s="4"/>
    </row>
    <row r="52" spans="2:9" ht="21.75" customHeight="1" x14ac:dyDescent="0.35">
      <c r="B52" s="5" t="s">
        <v>949</v>
      </c>
      <c r="C52" s="5"/>
      <c r="D52" s="5"/>
      <c r="E52" s="4" t="s">
        <v>950</v>
      </c>
      <c r="F52" s="4"/>
      <c r="G52" s="4"/>
      <c r="H52" s="4"/>
      <c r="I52" s="4"/>
    </row>
    <row r="53" spans="2:9" ht="21.75" customHeight="1" x14ac:dyDescent="0.35">
      <c r="B53" s="3" t="s">
        <v>152</v>
      </c>
      <c r="C53" s="3"/>
      <c r="D53" s="3"/>
      <c r="E53" s="4" t="s">
        <v>951</v>
      </c>
      <c r="F53" s="4"/>
      <c r="G53" s="4"/>
      <c r="H53" s="4"/>
      <c r="I53" s="4"/>
    </row>
    <row r="54" spans="2:9" ht="21.75" customHeight="1" x14ac:dyDescent="0.35">
      <c r="B54" s="3" t="s">
        <v>154</v>
      </c>
      <c r="C54" s="3"/>
      <c r="D54" s="3"/>
      <c r="E54" s="4" t="s">
        <v>952</v>
      </c>
      <c r="F54" s="4"/>
      <c r="G54" s="4"/>
      <c r="H54" s="4"/>
      <c r="I54" s="4"/>
    </row>
    <row r="55" spans="2:9" ht="21.75" customHeight="1" x14ac:dyDescent="0.35">
      <c r="B55" s="3" t="s">
        <v>156</v>
      </c>
      <c r="C55" s="3"/>
      <c r="D55" s="3"/>
      <c r="E55" s="4" t="s">
        <v>953</v>
      </c>
      <c r="F55" s="4"/>
      <c r="G55" s="4"/>
      <c r="H55" s="4"/>
      <c r="I55" s="4"/>
    </row>
    <row r="56" spans="2:9" x14ac:dyDescent="0.35">
      <c r="E56" s="4"/>
      <c r="F56" s="4"/>
      <c r="G56" s="4"/>
      <c r="H56" s="4"/>
      <c r="I56" s="4"/>
    </row>
    <row r="57" spans="2:9" ht="21.75" customHeight="1" x14ac:dyDescent="0.35">
      <c r="B57" s="2" t="s">
        <v>173</v>
      </c>
      <c r="C57" s="2"/>
      <c r="D57" s="2"/>
      <c r="E57" s="2"/>
      <c r="F57" s="2"/>
      <c r="G57" s="2"/>
      <c r="H57" s="2"/>
      <c r="I57" s="2"/>
    </row>
    <row r="58" spans="2:9" ht="13.5" customHeight="1" x14ac:dyDescent="0.35">
      <c r="B58" s="11" t="s">
        <v>174</v>
      </c>
      <c r="C58" s="11"/>
      <c r="D58" s="11"/>
      <c r="E58" s="11"/>
      <c r="F58" s="11"/>
      <c r="G58" s="11"/>
      <c r="H58" s="11"/>
      <c r="I58" s="11"/>
    </row>
    <row r="59" spans="2:9" ht="18" customHeight="1" x14ac:dyDescent="0.35">
      <c r="B59" s="1" t="s">
        <v>175</v>
      </c>
      <c r="C59" s="1"/>
      <c r="D59" s="1"/>
      <c r="E59" s="1"/>
      <c r="F59" s="1"/>
      <c r="G59" s="1"/>
      <c r="H59" s="1"/>
      <c r="I59" s="1"/>
    </row>
    <row r="60" spans="2:9" ht="18" customHeight="1" x14ac:dyDescent="0.35">
      <c r="B60" s="24" t="s">
        <v>176</v>
      </c>
      <c r="C60" s="24"/>
      <c r="D60" s="24"/>
      <c r="E60" s="25" t="s">
        <v>954</v>
      </c>
      <c r="F60" s="25"/>
      <c r="G60" s="25"/>
      <c r="H60" s="25"/>
      <c r="I60" s="25"/>
    </row>
    <row r="61" spans="2:9" ht="18" customHeight="1" x14ac:dyDescent="0.35">
      <c r="B61" s="24" t="s">
        <v>178</v>
      </c>
      <c r="C61" s="24"/>
      <c r="D61" s="24"/>
      <c r="E61" s="25" t="s">
        <v>955</v>
      </c>
      <c r="F61" s="25"/>
      <c r="G61" s="25"/>
      <c r="H61" s="25"/>
      <c r="I61" s="25"/>
    </row>
    <row r="62" spans="2:9" ht="18" customHeight="1" x14ac:dyDescent="0.35">
      <c r="B62" s="24" t="s">
        <v>180</v>
      </c>
      <c r="C62" s="24"/>
      <c r="D62" s="24"/>
      <c r="E62" s="25" t="s">
        <v>956</v>
      </c>
      <c r="F62" s="25"/>
      <c r="G62" s="25"/>
      <c r="H62" s="25"/>
      <c r="I62" s="25"/>
    </row>
    <row r="63" spans="2:9" ht="18" customHeight="1" x14ac:dyDescent="0.35">
      <c r="B63" s="24" t="s">
        <v>182</v>
      </c>
      <c r="C63" s="24"/>
      <c r="D63" s="24"/>
      <c r="E63" s="25" t="s">
        <v>957</v>
      </c>
      <c r="F63" s="25"/>
      <c r="G63" s="25"/>
      <c r="H63" s="25"/>
      <c r="I63" s="25"/>
    </row>
    <row r="64" spans="2:9" ht="18" customHeight="1" x14ac:dyDescent="0.35">
      <c r="B64" s="24" t="s">
        <v>184</v>
      </c>
      <c r="C64" s="24"/>
      <c r="D64" s="24"/>
      <c r="E64" s="25" t="s">
        <v>958</v>
      </c>
      <c r="F64" s="25"/>
      <c r="G64" s="25"/>
      <c r="H64" s="25"/>
      <c r="I64" s="25"/>
    </row>
    <row r="66" spans="2:9" ht="18" customHeight="1" x14ac:dyDescent="0.35">
      <c r="B66" s="1" t="s">
        <v>186</v>
      </c>
      <c r="C66" s="1"/>
      <c r="D66" s="1"/>
      <c r="E66" s="1"/>
      <c r="F66" s="1"/>
      <c r="G66" s="1"/>
      <c r="H66" s="1"/>
      <c r="I66" s="1"/>
    </row>
    <row r="67" spans="2:9" ht="18" customHeight="1" x14ac:dyDescent="0.35">
      <c r="B67" s="24" t="s">
        <v>176</v>
      </c>
      <c r="C67" s="24"/>
      <c r="D67" s="24"/>
      <c r="E67" s="25" t="s">
        <v>959</v>
      </c>
      <c r="F67" s="25"/>
      <c r="G67" s="25"/>
      <c r="H67" s="25"/>
      <c r="I67" s="25"/>
    </row>
    <row r="68" spans="2:9" ht="18" customHeight="1" x14ac:dyDescent="0.35">
      <c r="B68" s="24" t="s">
        <v>178</v>
      </c>
      <c r="C68" s="24"/>
      <c r="D68" s="24"/>
      <c r="E68" s="25" t="s">
        <v>960</v>
      </c>
      <c r="F68" s="25"/>
      <c r="G68" s="25"/>
      <c r="H68" s="25"/>
      <c r="I68" s="25"/>
    </row>
    <row r="69" spans="2:9" ht="18" customHeight="1" x14ac:dyDescent="0.35">
      <c r="B69" s="24" t="s">
        <v>180</v>
      </c>
      <c r="C69" s="24"/>
      <c r="D69" s="24"/>
      <c r="E69" s="25" t="s">
        <v>961</v>
      </c>
      <c r="F69" s="25"/>
      <c r="G69" s="25"/>
      <c r="H69" s="25"/>
      <c r="I69" s="25"/>
    </row>
    <row r="70" spans="2:9" ht="18" customHeight="1" x14ac:dyDescent="0.35">
      <c r="B70" s="24" t="s">
        <v>182</v>
      </c>
      <c r="C70" s="24"/>
      <c r="D70" s="24"/>
      <c r="E70" s="25" t="s">
        <v>962</v>
      </c>
      <c r="F70" s="25"/>
      <c r="G70" s="25"/>
      <c r="H70" s="25"/>
      <c r="I70" s="25"/>
    </row>
    <row r="71" spans="2:9" ht="18" customHeight="1" x14ac:dyDescent="0.35">
      <c r="B71" s="24" t="s">
        <v>184</v>
      </c>
      <c r="C71" s="24"/>
      <c r="D71" s="24"/>
      <c r="E71" s="25" t="s">
        <v>963</v>
      </c>
      <c r="F71" s="25"/>
      <c r="G71" s="25"/>
      <c r="H71" s="25"/>
      <c r="I71" s="25"/>
    </row>
    <row r="73" spans="2:9" ht="18" customHeight="1" x14ac:dyDescent="0.35">
      <c r="B73" s="1" t="s">
        <v>192</v>
      </c>
      <c r="C73" s="1"/>
      <c r="D73" s="1"/>
      <c r="E73" s="1"/>
      <c r="F73" s="1"/>
      <c r="G73" s="1"/>
      <c r="H73" s="1"/>
      <c r="I73" s="1"/>
    </row>
    <row r="74" spans="2:9" ht="18" customHeight="1" x14ac:dyDescent="0.35">
      <c r="B74" s="24" t="s">
        <v>176</v>
      </c>
      <c r="C74" s="24"/>
      <c r="D74" s="24"/>
      <c r="E74" s="3" t="s">
        <v>964</v>
      </c>
      <c r="F74" s="3"/>
      <c r="G74" s="3"/>
      <c r="H74" s="3"/>
      <c r="I74" s="3"/>
    </row>
    <row r="75" spans="2:9" ht="18" customHeight="1" x14ac:dyDescent="0.35">
      <c r="B75" s="24" t="s">
        <v>178</v>
      </c>
      <c r="C75" s="24"/>
      <c r="D75" s="24"/>
      <c r="E75" s="3" t="s">
        <v>965</v>
      </c>
      <c r="F75" s="3"/>
      <c r="G75" s="3"/>
      <c r="H75" s="3"/>
      <c r="I75" s="3"/>
    </row>
    <row r="76" spans="2:9" ht="18" customHeight="1" x14ac:dyDescent="0.35">
      <c r="B76" s="24" t="s">
        <v>180</v>
      </c>
      <c r="C76" s="24"/>
      <c r="D76" s="24"/>
      <c r="E76" s="3" t="s">
        <v>966</v>
      </c>
      <c r="F76" s="3"/>
      <c r="G76" s="3"/>
      <c r="H76" s="3"/>
      <c r="I76" s="3"/>
    </row>
    <row r="77" spans="2:9" ht="18" customHeight="1" x14ac:dyDescent="0.35">
      <c r="B77" s="24" t="s">
        <v>182</v>
      </c>
      <c r="C77" s="24"/>
      <c r="D77" s="24"/>
      <c r="E77" s="3" t="s">
        <v>967</v>
      </c>
      <c r="F77" s="3"/>
      <c r="G77" s="3"/>
      <c r="H77" s="3"/>
      <c r="I77" s="3"/>
    </row>
    <row r="78" spans="2:9" ht="18" customHeight="1" x14ac:dyDescent="0.35">
      <c r="B78" s="24" t="s">
        <v>184</v>
      </c>
      <c r="C78" s="24"/>
      <c r="D78" s="24"/>
      <c r="E78" s="3" t="s">
        <v>968</v>
      </c>
      <c r="F78" s="3"/>
      <c r="G78" s="3"/>
      <c r="H78" s="3"/>
      <c r="I78" s="3"/>
    </row>
    <row r="80" spans="2:9" ht="18" customHeight="1" x14ac:dyDescent="0.35">
      <c r="B80" s="1" t="s">
        <v>198</v>
      </c>
      <c r="C80" s="1"/>
      <c r="D80" s="1"/>
      <c r="E80" s="1"/>
      <c r="F80" s="1"/>
      <c r="G80" s="1"/>
      <c r="H80" s="1"/>
      <c r="I80" s="1"/>
    </row>
    <row r="81" spans="2:9" ht="18" customHeight="1" x14ac:dyDescent="0.35">
      <c r="B81" s="24" t="s">
        <v>176</v>
      </c>
      <c r="C81" s="24"/>
      <c r="D81" s="24"/>
      <c r="E81" s="3" t="s">
        <v>969</v>
      </c>
      <c r="F81" s="3"/>
      <c r="G81" s="3"/>
      <c r="H81" s="3"/>
      <c r="I81" s="3"/>
    </row>
    <row r="82" spans="2:9" ht="18" customHeight="1" x14ac:dyDescent="0.35">
      <c r="B82" s="24" t="s">
        <v>178</v>
      </c>
      <c r="C82" s="24"/>
      <c r="D82" s="24"/>
      <c r="E82" s="3" t="s">
        <v>970</v>
      </c>
      <c r="F82" s="3"/>
      <c r="G82" s="3"/>
      <c r="H82" s="3"/>
      <c r="I82" s="3"/>
    </row>
    <row r="83" spans="2:9" ht="18" customHeight="1" x14ac:dyDescent="0.35">
      <c r="B83" s="24" t="s">
        <v>180</v>
      </c>
      <c r="C83" s="24"/>
      <c r="D83" s="24"/>
      <c r="E83" s="3" t="s">
        <v>971</v>
      </c>
      <c r="F83" s="3"/>
      <c r="G83" s="3"/>
      <c r="H83" s="3"/>
      <c r="I83" s="3"/>
    </row>
    <row r="84" spans="2:9" ht="18" customHeight="1" x14ac:dyDescent="0.35">
      <c r="B84" s="24" t="s">
        <v>182</v>
      </c>
      <c r="C84" s="24"/>
      <c r="D84" s="24"/>
      <c r="E84" s="3" t="s">
        <v>972</v>
      </c>
      <c r="F84" s="3"/>
      <c r="G84" s="3"/>
      <c r="H84" s="3"/>
      <c r="I84" s="3"/>
    </row>
    <row r="85" spans="2:9" ht="18" customHeight="1" x14ac:dyDescent="0.35">
      <c r="B85" s="24" t="s">
        <v>184</v>
      </c>
      <c r="C85" s="24"/>
      <c r="D85" s="24"/>
      <c r="E85" s="3" t="s">
        <v>973</v>
      </c>
      <c r="F85" s="3"/>
      <c r="G85" s="3"/>
      <c r="H85" s="3"/>
      <c r="I85" s="3"/>
    </row>
    <row r="87" spans="2:9" ht="18" customHeight="1" x14ac:dyDescent="0.35">
      <c r="B87" s="1" t="s">
        <v>204</v>
      </c>
      <c r="C87" s="1"/>
      <c r="D87" s="1"/>
      <c r="E87" s="1"/>
      <c r="F87" s="1"/>
      <c r="G87" s="1"/>
      <c r="H87" s="1"/>
      <c r="I87" s="1"/>
    </row>
    <row r="88" spans="2:9" ht="18" customHeight="1" x14ac:dyDescent="0.35">
      <c r="B88" s="24" t="s">
        <v>176</v>
      </c>
      <c r="C88" s="24"/>
      <c r="D88" s="24"/>
      <c r="E88" s="3" t="s">
        <v>974</v>
      </c>
      <c r="F88" s="3"/>
      <c r="G88" s="3"/>
      <c r="H88" s="3"/>
      <c r="I88" s="3"/>
    </row>
    <row r="89" spans="2:9" ht="18" customHeight="1" x14ac:dyDescent="0.35">
      <c r="B89" s="24" t="s">
        <v>178</v>
      </c>
      <c r="C89" s="24"/>
      <c r="D89" s="24"/>
      <c r="E89" s="3" t="s">
        <v>975</v>
      </c>
      <c r="F89" s="3"/>
      <c r="G89" s="3"/>
      <c r="H89" s="3"/>
      <c r="I89" s="3"/>
    </row>
    <row r="90" spans="2:9" ht="18" customHeight="1" x14ac:dyDescent="0.35">
      <c r="B90" s="24" t="s">
        <v>180</v>
      </c>
      <c r="C90" s="24"/>
      <c r="D90" s="24"/>
      <c r="E90" s="3" t="s">
        <v>976</v>
      </c>
      <c r="F90" s="3"/>
      <c r="G90" s="3"/>
      <c r="H90" s="3"/>
      <c r="I90" s="3"/>
    </row>
    <row r="91" spans="2:9" ht="18" customHeight="1" x14ac:dyDescent="0.35">
      <c r="B91" s="24" t="s">
        <v>182</v>
      </c>
      <c r="C91" s="24"/>
      <c r="D91" s="24"/>
      <c r="E91" s="3" t="s">
        <v>977</v>
      </c>
      <c r="F91" s="3"/>
      <c r="G91" s="3"/>
      <c r="H91" s="3"/>
      <c r="I91" s="3"/>
    </row>
    <row r="92" spans="2:9" ht="18" customHeight="1" x14ac:dyDescent="0.35">
      <c r="B92" s="24" t="s">
        <v>184</v>
      </c>
      <c r="C92" s="24"/>
      <c r="D92" s="24"/>
      <c r="E92" s="3" t="s">
        <v>978</v>
      </c>
      <c r="F92" s="3"/>
      <c r="G92" s="3"/>
      <c r="H92" s="3"/>
      <c r="I92" s="3"/>
    </row>
    <row r="94" spans="2:9" ht="15.75" customHeight="1" x14ac:dyDescent="0.35">
      <c r="B94" s="26" t="s">
        <v>979</v>
      </c>
      <c r="C94" s="26"/>
      <c r="D94" s="26"/>
      <c r="E94" s="26"/>
      <c r="F94" s="26"/>
      <c r="G94" s="26"/>
      <c r="H94" s="26"/>
      <c r="I94" s="26"/>
    </row>
  </sheetData>
  <mergeCells count="106">
    <mergeCell ref="B92:D92"/>
    <mergeCell ref="E92:I92"/>
    <mergeCell ref="B94:I94"/>
    <mergeCell ref="B87:I87"/>
    <mergeCell ref="B88:D88"/>
    <mergeCell ref="E88:I88"/>
    <mergeCell ref="B89:D89"/>
    <mergeCell ref="E89:I89"/>
    <mergeCell ref="B90:D90"/>
    <mergeCell ref="E90:I90"/>
    <mergeCell ref="B91:D91"/>
    <mergeCell ref="E91:I91"/>
    <mergeCell ref="B81:D81"/>
    <mergeCell ref="E81:I81"/>
    <mergeCell ref="B82:D82"/>
    <mergeCell ref="E82:I82"/>
    <mergeCell ref="B83:D83"/>
    <mergeCell ref="E83:I83"/>
    <mergeCell ref="B84:D84"/>
    <mergeCell ref="E84:I84"/>
    <mergeCell ref="B85:D85"/>
    <mergeCell ref="E85:I85"/>
    <mergeCell ref="B75:D75"/>
    <mergeCell ref="E75:I75"/>
    <mergeCell ref="B76:D76"/>
    <mergeCell ref="E76:I76"/>
    <mergeCell ref="B77:D77"/>
    <mergeCell ref="E77:I77"/>
    <mergeCell ref="B78:D78"/>
    <mergeCell ref="E78:I78"/>
    <mergeCell ref="B80:I80"/>
    <mergeCell ref="B69:D69"/>
    <mergeCell ref="E69:I69"/>
    <mergeCell ref="B70:D70"/>
    <mergeCell ref="E70:I70"/>
    <mergeCell ref="B71:D71"/>
    <mergeCell ref="E71:I71"/>
    <mergeCell ref="B73:I73"/>
    <mergeCell ref="B74:D74"/>
    <mergeCell ref="E74:I74"/>
    <mergeCell ref="B63:D63"/>
    <mergeCell ref="E63:I63"/>
    <mergeCell ref="B64:D64"/>
    <mergeCell ref="E64:I64"/>
    <mergeCell ref="B66:I66"/>
    <mergeCell ref="B67:D67"/>
    <mergeCell ref="E67:I67"/>
    <mergeCell ref="B68:D68"/>
    <mergeCell ref="E68:I68"/>
    <mergeCell ref="B57:I57"/>
    <mergeCell ref="B58:I58"/>
    <mergeCell ref="B59:I59"/>
    <mergeCell ref="B60:D60"/>
    <mergeCell ref="E60:I60"/>
    <mergeCell ref="B61:D61"/>
    <mergeCell ref="E61:I61"/>
    <mergeCell ref="B62:D62"/>
    <mergeCell ref="E62:I62"/>
    <mergeCell ref="B52:D52"/>
    <mergeCell ref="E52:I52"/>
    <mergeCell ref="B53:D53"/>
    <mergeCell ref="E53:I53"/>
    <mergeCell ref="B54:D54"/>
    <mergeCell ref="E54:I54"/>
    <mergeCell ref="B55:D55"/>
    <mergeCell ref="E55:I55"/>
    <mergeCell ref="E56:I56"/>
    <mergeCell ref="B47:D47"/>
    <mergeCell ref="E47:I47"/>
    <mergeCell ref="B48:D48"/>
    <mergeCell ref="E48:I48"/>
    <mergeCell ref="B49:D49"/>
    <mergeCell ref="E49:I49"/>
    <mergeCell ref="B50:D50"/>
    <mergeCell ref="E50:I50"/>
    <mergeCell ref="B51:D51"/>
    <mergeCell ref="E51:I51"/>
    <mergeCell ref="B42:D42"/>
    <mergeCell ref="E42:I42"/>
    <mergeCell ref="B43:D43"/>
    <mergeCell ref="E43:I43"/>
    <mergeCell ref="B44:D44"/>
    <mergeCell ref="E44:I44"/>
    <mergeCell ref="B45:D45"/>
    <mergeCell ref="E45:I45"/>
    <mergeCell ref="B46:D46"/>
    <mergeCell ref="E46:I46"/>
    <mergeCell ref="B24:I24"/>
    <mergeCell ref="B28:I28"/>
    <mergeCell ref="B32:I32"/>
    <mergeCell ref="B37:I37"/>
    <mergeCell ref="B38:I38"/>
    <mergeCell ref="E39:I39"/>
    <mergeCell ref="B40:D40"/>
    <mergeCell ref="E40:I40"/>
    <mergeCell ref="B41:D41"/>
    <mergeCell ref="E41:I41"/>
    <mergeCell ref="B2:I2"/>
    <mergeCell ref="B3:I3"/>
    <mergeCell ref="B5:I5"/>
    <mergeCell ref="B6:I6"/>
    <mergeCell ref="B17:I17"/>
    <mergeCell ref="B18:I18"/>
    <mergeCell ref="D19:F19"/>
    <mergeCell ref="G19:H19"/>
    <mergeCell ref="B20:I20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L22"/>
  <sheetViews>
    <sheetView showGridLines="0" topLeftCell="A2" zoomScaleNormal="100" workbookViewId="0">
      <selection activeCell="D26" sqref="D26"/>
    </sheetView>
  </sheetViews>
  <sheetFormatPr defaultColWidth="8.6328125" defaultRowHeight="14.5" x14ac:dyDescent="0.35"/>
  <cols>
    <col min="1" max="1" width="3" customWidth="1"/>
    <col min="2" max="2" width="12" customWidth="1"/>
    <col min="3" max="6" width="16" customWidth="1"/>
    <col min="7" max="11" width="13" customWidth="1"/>
    <col min="12" max="12" width="54.26953125" bestFit="1" customWidth="1"/>
  </cols>
  <sheetData>
    <row r="1" spans="2:12" ht="13.5" customHeight="1" x14ac:dyDescent="0.35"/>
    <row r="2" spans="2:12" ht="33.75" customHeight="1" x14ac:dyDescent="0.35">
      <c r="B2" s="14" t="s">
        <v>980</v>
      </c>
      <c r="C2" s="14"/>
      <c r="D2" s="14"/>
      <c r="E2" s="14"/>
      <c r="F2" s="14"/>
      <c r="G2" s="14"/>
      <c r="H2" s="14"/>
      <c r="I2" s="14"/>
      <c r="J2" s="14"/>
      <c r="K2" s="14"/>
      <c r="L2" s="14"/>
    </row>
    <row r="4" spans="2:12" ht="19.5" customHeight="1" x14ac:dyDescent="0.35">
      <c r="B4" s="12" t="s">
        <v>981</v>
      </c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2:12" ht="19.5" customHeight="1" x14ac:dyDescent="0.35">
      <c r="B5" s="17" t="s">
        <v>982</v>
      </c>
      <c r="C5" s="17" t="s">
        <v>983</v>
      </c>
      <c r="D5" s="17" t="s">
        <v>984</v>
      </c>
      <c r="E5" s="17" t="s">
        <v>985</v>
      </c>
      <c r="F5" s="17" t="s">
        <v>986</v>
      </c>
      <c r="G5" s="17" t="s">
        <v>987</v>
      </c>
      <c r="H5" s="17" t="s">
        <v>988</v>
      </c>
      <c r="I5" s="17" t="s">
        <v>87</v>
      </c>
      <c r="J5" s="17" t="s">
        <v>104</v>
      </c>
      <c r="K5" s="17" t="s">
        <v>93</v>
      </c>
      <c r="L5" s="17" t="s">
        <v>51</v>
      </c>
    </row>
    <row r="6" spans="2:12" ht="18" customHeight="1" x14ac:dyDescent="0.35">
      <c r="B6" s="23" t="s">
        <v>989</v>
      </c>
      <c r="C6" s="23">
        <f>COUNTIF(Week_01!$C$8:$C$15,"A")</f>
        <v>2</v>
      </c>
      <c r="D6" s="23">
        <f>COUNTIF(Week_01!$C$8:$C$15,"B")</f>
        <v>1</v>
      </c>
      <c r="E6" s="23">
        <f>COUNTIF(Week_01!$C$8:$C$15,"C")</f>
        <v>1</v>
      </c>
      <c r="F6" s="23">
        <f>COUNTIF(Week_01!$C$8:$C$15,"D")</f>
        <v>1</v>
      </c>
      <c r="G6" s="23">
        <f>COUNTIF(Week_01!$C$8:$C$15,"E")</f>
        <v>1</v>
      </c>
      <c r="H6" s="23">
        <f t="shared" ref="H6:H15" si="0">SUM(C6:G6)</f>
        <v>6</v>
      </c>
      <c r="I6" s="23">
        <f>COUNTIF(Week_01!$G$8:$G$15,"Low")</f>
        <v>2</v>
      </c>
      <c r="J6" s="23">
        <f>COUNTIF(Week_01!$G$8:$G$15,"Medium")</f>
        <v>2</v>
      </c>
      <c r="K6" s="23">
        <f>COUNTIF(Week_01!$G$8:$G$15,"High")</f>
        <v>2</v>
      </c>
      <c r="L6" s="23" t="s">
        <v>990</v>
      </c>
    </row>
    <row r="7" spans="2:12" ht="18" customHeight="1" x14ac:dyDescent="0.35">
      <c r="B7" s="23" t="s">
        <v>991</v>
      </c>
      <c r="C7" s="23">
        <f>COUNTIF(Week_02!$C$8:$C$15,"A")</f>
        <v>1</v>
      </c>
      <c r="D7" s="23">
        <f>COUNTIF(Week_02!$C$8:$C$15,"B")</f>
        <v>2</v>
      </c>
      <c r="E7" s="23">
        <f>COUNTIF(Week_02!$C$8:$C$15,"C")</f>
        <v>1</v>
      </c>
      <c r="F7" s="23">
        <f>COUNTIF(Week_02!$C$8:$C$15,"D")</f>
        <v>1</v>
      </c>
      <c r="G7" s="23">
        <f>COUNTIF(Week_02!$C$8:$C$15,"E")</f>
        <v>1</v>
      </c>
      <c r="H7" s="23">
        <f t="shared" si="0"/>
        <v>6</v>
      </c>
      <c r="I7" s="23">
        <f>COUNTIF(Week_02!$G$8:$G$15,"Low")</f>
        <v>3</v>
      </c>
      <c r="J7" s="23">
        <f>COUNTIF(Week_02!$G$8:$G$15,"Medium")</f>
        <v>2</v>
      </c>
      <c r="K7" s="23">
        <f>COUNTIF(Week_02!$G$8:$G$15,"High")</f>
        <v>1</v>
      </c>
      <c r="L7" s="23" t="s">
        <v>992</v>
      </c>
    </row>
    <row r="8" spans="2:12" ht="18" customHeight="1" x14ac:dyDescent="0.35">
      <c r="B8" s="23" t="s">
        <v>993</v>
      </c>
      <c r="C8" s="23">
        <f>COUNTIF(Week_03!$C$8:$C$15,"A")</f>
        <v>1</v>
      </c>
      <c r="D8" s="23">
        <f>COUNTIF(Week_03!$C$8:$C$15,"B")</f>
        <v>2</v>
      </c>
      <c r="E8" s="23">
        <f>COUNTIF(Week_03!$C$8:$C$15,"C")</f>
        <v>1</v>
      </c>
      <c r="F8" s="23">
        <f>COUNTIF(Week_03!$C$8:$C$15,"D")</f>
        <v>1</v>
      </c>
      <c r="G8" s="23">
        <f>COUNTIF(Week_03!$C$8:$C$15,"E")</f>
        <v>1</v>
      </c>
      <c r="H8" s="23">
        <f t="shared" si="0"/>
        <v>6</v>
      </c>
      <c r="I8" s="23">
        <f>COUNTIF(Week_03!$G$8:$G$15,"Low")</f>
        <v>2</v>
      </c>
      <c r="J8" s="23">
        <f>COUNTIF(Week_03!$G$8:$G$15,"Medium")</f>
        <v>3</v>
      </c>
      <c r="K8" s="23">
        <f>COUNTIF(Week_03!$G$8:$G$15,"High")</f>
        <v>1</v>
      </c>
      <c r="L8" s="23" t="s">
        <v>994</v>
      </c>
    </row>
    <row r="9" spans="2:12" ht="18" customHeight="1" x14ac:dyDescent="0.35">
      <c r="B9" s="23" t="s">
        <v>995</v>
      </c>
      <c r="C9" s="23">
        <f>COUNTIF(Week_04!$C$8:$C$15,"A")</f>
        <v>2</v>
      </c>
      <c r="D9" s="23">
        <f>COUNTIF(Week_04!$C$8:$C$15,"B")</f>
        <v>1</v>
      </c>
      <c r="E9" s="23">
        <f>COUNTIF(Week_04!$C$8:$C$15,"C")</f>
        <v>1</v>
      </c>
      <c r="F9" s="23">
        <f>COUNTIF(Week_04!$C$8:$C$15,"D")</f>
        <v>1</v>
      </c>
      <c r="G9" s="23">
        <f>COUNTIF(Week_04!$C$8:$C$15,"E")</f>
        <v>1</v>
      </c>
      <c r="H9" s="23">
        <f t="shared" si="0"/>
        <v>6</v>
      </c>
      <c r="I9" s="23">
        <f>COUNTIF(Week_04!$G$8:$G$15,"Low")</f>
        <v>1</v>
      </c>
      <c r="J9" s="23">
        <f>COUNTIF(Week_04!$G$8:$G$15,"Medium")</f>
        <v>4</v>
      </c>
      <c r="K9" s="23">
        <f>COUNTIF(Week_04!$G$8:$G$15,"High")</f>
        <v>1</v>
      </c>
      <c r="L9" s="23" t="s">
        <v>996</v>
      </c>
    </row>
    <row r="10" spans="2:12" ht="18" customHeight="1" x14ac:dyDescent="0.35">
      <c r="B10" s="23" t="s">
        <v>997</v>
      </c>
      <c r="C10" s="23">
        <f>COUNTIF(Week_05!$C$8:$C$15,"A")</f>
        <v>1</v>
      </c>
      <c r="D10" s="23">
        <f>COUNTIF(Week_05!$C$8:$C$15,"B")</f>
        <v>1</v>
      </c>
      <c r="E10" s="23">
        <f>COUNTIF(Week_05!$C$8:$C$15,"C")</f>
        <v>2</v>
      </c>
      <c r="F10" s="23">
        <f>COUNTIF(Week_05!$C$8:$C$15,"D")</f>
        <v>1</v>
      </c>
      <c r="G10" s="23">
        <f>COUNTIF(Week_05!$C$8:$C$15,"E")</f>
        <v>1</v>
      </c>
      <c r="H10" s="23">
        <f t="shared" si="0"/>
        <v>6</v>
      </c>
      <c r="I10" s="23">
        <f>COUNTIF(Week_05!$G$8:$G$15,"Low")</f>
        <v>2</v>
      </c>
      <c r="J10" s="23">
        <f>COUNTIF(Week_05!$G$8:$G$15,"Medium")</f>
        <v>3</v>
      </c>
      <c r="K10" s="23">
        <f>COUNTIF(Week_05!$G$8:$G$15,"High")</f>
        <v>1</v>
      </c>
      <c r="L10" s="23" t="s">
        <v>998</v>
      </c>
    </row>
    <row r="11" spans="2:12" ht="18" customHeight="1" x14ac:dyDescent="0.35">
      <c r="B11" s="23" t="s">
        <v>999</v>
      </c>
      <c r="C11" s="23">
        <f>COUNTIF(Week_06!$C$8:$C$15,"A")</f>
        <v>1</v>
      </c>
      <c r="D11" s="23">
        <f>COUNTIF(Week_06!$C$8:$C$15,"B")</f>
        <v>2</v>
      </c>
      <c r="E11" s="23">
        <f>COUNTIF(Week_06!$C$8:$C$15,"C")</f>
        <v>1</v>
      </c>
      <c r="F11" s="23">
        <f>COUNTIF(Week_06!$C$8:$C$15,"D")</f>
        <v>1</v>
      </c>
      <c r="G11" s="23">
        <f>COUNTIF(Week_06!$C$8:$C$15,"E")</f>
        <v>1</v>
      </c>
      <c r="H11" s="23">
        <f t="shared" si="0"/>
        <v>6</v>
      </c>
      <c r="I11" s="23">
        <f>COUNTIF(Week_06!$G$8:$G$15,"Low")</f>
        <v>1</v>
      </c>
      <c r="J11" s="23">
        <f>COUNTIF(Week_06!$G$8:$G$15,"Medium")</f>
        <v>3</v>
      </c>
      <c r="K11" s="23">
        <f>COUNTIF(Week_06!$G$8:$G$15,"High")</f>
        <v>2</v>
      </c>
      <c r="L11" s="23" t="s">
        <v>1000</v>
      </c>
    </row>
    <row r="12" spans="2:12" ht="18" customHeight="1" x14ac:dyDescent="0.35">
      <c r="B12" s="23" t="s">
        <v>1001</v>
      </c>
      <c r="C12" s="23">
        <f>COUNTIF(Week_07!$C$8:$C$15,"A")</f>
        <v>2</v>
      </c>
      <c r="D12" s="23">
        <f>COUNTIF(Week_07!$C$8:$C$15,"B")</f>
        <v>1</v>
      </c>
      <c r="E12" s="23">
        <f>COUNTIF(Week_07!$C$8:$C$15,"C")</f>
        <v>1</v>
      </c>
      <c r="F12" s="23">
        <f>COUNTIF(Week_07!$C$8:$C$15,"D")</f>
        <v>1</v>
      </c>
      <c r="G12" s="23">
        <f>COUNTIF(Week_07!$C$8:$C$15,"E")</f>
        <v>1</v>
      </c>
      <c r="H12" s="23">
        <f t="shared" si="0"/>
        <v>6</v>
      </c>
      <c r="I12" s="23">
        <f>COUNTIF(Week_07!$G$8:$G$15,"Low")</f>
        <v>3</v>
      </c>
      <c r="J12" s="23">
        <f>COUNTIF(Week_07!$G$8:$G$15,"Medium")</f>
        <v>2</v>
      </c>
      <c r="K12" s="23">
        <f>COUNTIF(Week_07!$G$8:$G$15,"High")</f>
        <v>1</v>
      </c>
      <c r="L12" s="23" t="s">
        <v>1002</v>
      </c>
    </row>
    <row r="13" spans="2:12" ht="18" customHeight="1" x14ac:dyDescent="0.35">
      <c r="B13" s="23" t="s">
        <v>1003</v>
      </c>
      <c r="C13" s="23">
        <f>COUNTIF(Week_08!$C$8:$C$15,"A")</f>
        <v>1</v>
      </c>
      <c r="D13" s="23">
        <f>COUNTIF(Week_08!$C$8:$C$15,"B")</f>
        <v>2</v>
      </c>
      <c r="E13" s="23">
        <f>COUNTIF(Week_08!$C$8:$C$15,"C")</f>
        <v>1</v>
      </c>
      <c r="F13" s="23">
        <f>COUNTIF(Week_08!$C$8:$C$15,"D")</f>
        <v>1</v>
      </c>
      <c r="G13" s="23">
        <f>COUNTIF(Week_08!$C$8:$C$15,"E")</f>
        <v>1</v>
      </c>
      <c r="H13" s="23">
        <f t="shared" si="0"/>
        <v>6</v>
      </c>
      <c r="I13" s="23">
        <f>COUNTIF(Week_08!$G$8:$G$15,"Low")</f>
        <v>1</v>
      </c>
      <c r="J13" s="23">
        <f>COUNTIF(Week_08!$G$8:$G$15,"Medium")</f>
        <v>3</v>
      </c>
      <c r="K13" s="23">
        <f>COUNTIF(Week_08!$G$8:$G$15,"High")</f>
        <v>2</v>
      </c>
      <c r="L13" s="23" t="s">
        <v>1004</v>
      </c>
    </row>
    <row r="14" spans="2:12" ht="18" customHeight="1" x14ac:dyDescent="0.35">
      <c r="B14" s="23" t="s">
        <v>1005</v>
      </c>
      <c r="C14" s="23">
        <f>COUNTIF(Week_09!$C$8:$C$15,"A")</f>
        <v>2</v>
      </c>
      <c r="D14" s="23">
        <f>COUNTIF(Week_09!$C$8:$C$15,"B")</f>
        <v>1</v>
      </c>
      <c r="E14" s="23">
        <f>COUNTIF(Week_09!$C$8:$C$15,"C")</f>
        <v>1</v>
      </c>
      <c r="F14" s="23">
        <f>COUNTIF(Week_09!$C$8:$C$15,"D")</f>
        <v>1</v>
      </c>
      <c r="G14" s="23">
        <f>COUNTIF(Week_09!$C$8:$C$15,"E")</f>
        <v>1</v>
      </c>
      <c r="H14" s="23">
        <f t="shared" si="0"/>
        <v>6</v>
      </c>
      <c r="I14" s="23">
        <f>COUNTIF(Week_09!$G$8:$G$15,"Low")</f>
        <v>2</v>
      </c>
      <c r="J14" s="23">
        <f>COUNTIF(Week_09!$G$8:$G$15,"Medium")</f>
        <v>2</v>
      </c>
      <c r="K14" s="23">
        <f>COUNTIF(Week_09!$G$8:$G$15,"High")</f>
        <v>2</v>
      </c>
      <c r="L14" s="23" t="s">
        <v>1006</v>
      </c>
    </row>
    <row r="15" spans="2:12" ht="18" customHeight="1" x14ac:dyDescent="0.35">
      <c r="B15" s="23" t="s">
        <v>1007</v>
      </c>
      <c r="C15" s="23">
        <f>COUNTIF(Week_10!$C$8:$C$15,"A")</f>
        <v>2</v>
      </c>
      <c r="D15" s="23">
        <f>COUNTIF(Week_10!$C$8:$C$15,"B")</f>
        <v>1</v>
      </c>
      <c r="E15" s="23">
        <f>COUNTIF(Week_10!$C$8:$C$15,"C")</f>
        <v>1</v>
      </c>
      <c r="F15" s="23">
        <f>COUNTIF(Week_10!$C$8:$C$15,"D")</f>
        <v>1</v>
      </c>
      <c r="G15" s="23">
        <f>COUNTIF(Week_10!$C$8:$C$15,"E")</f>
        <v>1</v>
      </c>
      <c r="H15" s="23">
        <f t="shared" si="0"/>
        <v>6</v>
      </c>
      <c r="I15" s="23">
        <f>COUNTIF(Week_10!$G$8:$G$15,"Low")</f>
        <v>2</v>
      </c>
      <c r="J15" s="23">
        <f>COUNTIF(Week_10!$G$8:$G$15,"Medium")</f>
        <v>2</v>
      </c>
      <c r="K15" s="23">
        <f>COUNTIF(Week_10!$G$8:$G$15,"High")</f>
        <v>2</v>
      </c>
      <c r="L15" s="23" t="s">
        <v>1008</v>
      </c>
    </row>
    <row r="16" spans="2:12" ht="19.5" customHeight="1" x14ac:dyDescent="0.35">
      <c r="B16" s="17" t="s">
        <v>1009</v>
      </c>
      <c r="C16" s="17">
        <f t="shared" ref="C16:K16" si="1">SUM(C6:C15)</f>
        <v>15</v>
      </c>
      <c r="D16" s="17">
        <f t="shared" si="1"/>
        <v>14</v>
      </c>
      <c r="E16" s="17">
        <f t="shared" si="1"/>
        <v>11</v>
      </c>
      <c r="F16" s="17">
        <f t="shared" si="1"/>
        <v>10</v>
      </c>
      <c r="G16" s="17">
        <f t="shared" si="1"/>
        <v>10</v>
      </c>
      <c r="H16" s="17">
        <f t="shared" si="1"/>
        <v>60</v>
      </c>
      <c r="I16" s="17">
        <f t="shared" si="1"/>
        <v>19</v>
      </c>
      <c r="J16" s="17">
        <f t="shared" si="1"/>
        <v>26</v>
      </c>
      <c r="K16" s="17">
        <f t="shared" si="1"/>
        <v>15</v>
      </c>
      <c r="L16" s="17"/>
    </row>
    <row r="18" spans="2:12" ht="19.5" customHeight="1" x14ac:dyDescent="0.35">
      <c r="B18" s="2" t="s">
        <v>1010</v>
      </c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2:12" ht="21.75" customHeight="1" x14ac:dyDescent="0.35">
      <c r="B19" s="32" t="s">
        <v>1011</v>
      </c>
      <c r="C19" s="32"/>
      <c r="D19" s="32"/>
      <c r="E19" s="4" t="s">
        <v>1012</v>
      </c>
      <c r="F19" s="4"/>
      <c r="G19" s="4"/>
      <c r="H19" s="4"/>
      <c r="I19" s="4"/>
      <c r="J19" s="4"/>
      <c r="K19" s="4"/>
      <c r="L19" s="4"/>
    </row>
    <row r="20" spans="2:12" ht="21.75" customHeight="1" x14ac:dyDescent="0.35">
      <c r="B20" s="32" t="s">
        <v>1013</v>
      </c>
      <c r="C20" s="32"/>
      <c r="D20" s="32"/>
      <c r="E20" s="4" t="s">
        <v>1014</v>
      </c>
      <c r="F20" s="4"/>
      <c r="G20" s="4"/>
      <c r="H20" s="4"/>
      <c r="I20" s="4"/>
      <c r="J20" s="4"/>
      <c r="K20" s="4"/>
      <c r="L20" s="4"/>
    </row>
    <row r="21" spans="2:12" ht="21.75" customHeight="1" x14ac:dyDescent="0.35">
      <c r="B21" s="32" t="s">
        <v>1015</v>
      </c>
      <c r="C21" s="32"/>
      <c r="D21" s="32"/>
      <c r="E21" s="4" t="s">
        <v>1016</v>
      </c>
      <c r="F21" s="4"/>
      <c r="G21" s="4"/>
      <c r="H21" s="4"/>
      <c r="I21" s="4"/>
      <c r="J21" s="4"/>
      <c r="K21" s="4"/>
      <c r="L21" s="4"/>
    </row>
    <row r="22" spans="2:12" ht="32.25" customHeight="1" x14ac:dyDescent="0.35">
      <c r="B22" s="32" t="s">
        <v>1017</v>
      </c>
      <c r="C22" s="32"/>
      <c r="D22" s="32"/>
      <c r="E22" s="4" t="s">
        <v>1018</v>
      </c>
      <c r="F22" s="4"/>
      <c r="G22" s="4"/>
      <c r="H22" s="4"/>
      <c r="I22" s="4"/>
      <c r="J22" s="4"/>
      <c r="K22" s="4"/>
      <c r="L22" s="4"/>
    </row>
  </sheetData>
  <mergeCells count="11">
    <mergeCell ref="B20:D20"/>
    <mergeCell ref="E20:L20"/>
    <mergeCell ref="B21:D21"/>
    <mergeCell ref="E21:L21"/>
    <mergeCell ref="B22:D22"/>
    <mergeCell ref="E22:L22"/>
    <mergeCell ref="B2:L2"/>
    <mergeCell ref="B4:L4"/>
    <mergeCell ref="B18:L18"/>
    <mergeCell ref="B19:D19"/>
    <mergeCell ref="E19:L1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Hướng dẫn</vt:lpstr>
      <vt:lpstr>Thông tin nhóm</vt:lpstr>
      <vt:lpstr>Week_01</vt:lpstr>
      <vt:lpstr>Week_02</vt:lpstr>
      <vt:lpstr>Week_03</vt:lpstr>
      <vt:lpstr>Week_04</vt:lpstr>
      <vt:lpstr>Week_05</vt:lpstr>
      <vt:lpstr>Week_06</vt:lpstr>
      <vt:lpstr>Week_07</vt:lpstr>
      <vt:lpstr>Week_08</vt:lpstr>
      <vt:lpstr>Week_09</vt:lpstr>
      <vt:lpstr>Week_10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David Bellamy</cp:lastModifiedBy>
  <cp:revision>0</cp:revision>
  <dcterms:created xsi:type="dcterms:W3CDTF">2026-05-29T14:09:10Z</dcterms:created>
  <dcterms:modified xsi:type="dcterms:W3CDTF">2026-06-11T01:57:55Z</dcterms:modified>
  <dc:language>en-US</dc:language>
</cp:coreProperties>
</file>