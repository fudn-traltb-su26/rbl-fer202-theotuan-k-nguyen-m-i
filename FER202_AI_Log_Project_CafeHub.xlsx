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4220" windowHeight="15500" tabRatio="500" firstSheet="0" activeTab="1" autoFilterDateGrouping="1"/>
  </bookViews>
  <sheets>
    <sheet xmlns:r="http://schemas.openxmlformats.org/officeDocument/2006/relationships" name="Hướng dẫn" sheetId="1" state="visible" r:id="rId1"/>
    <sheet xmlns:r="http://schemas.openxmlformats.org/officeDocument/2006/relationships" name="Thông tin nhóm" sheetId="2" state="visible" r:id="rId2"/>
    <sheet xmlns:r="http://schemas.openxmlformats.org/officeDocument/2006/relationships" name="Week_01" sheetId="3" state="visible" r:id="rId3"/>
    <sheet xmlns:r="http://schemas.openxmlformats.org/officeDocument/2006/relationships" name="Week_02" sheetId="4" state="visible" r:id="rId4"/>
    <sheet xmlns:r="http://schemas.openxmlformats.org/officeDocument/2006/relationships" name="Week_03" sheetId="5" state="visible" r:id="rId5"/>
    <sheet xmlns:r="http://schemas.openxmlformats.org/officeDocument/2006/relationships" name="Week_04" sheetId="6" state="visible" r:id="rId6"/>
    <sheet xmlns:r="http://schemas.openxmlformats.org/officeDocument/2006/relationships" name="Week_05" sheetId="7" state="visible" r:id="rId7"/>
    <sheet xmlns:r="http://schemas.openxmlformats.org/officeDocument/2006/relationships" name="Week_06" sheetId="8" state="visible" r:id="rId8"/>
    <sheet xmlns:r="http://schemas.openxmlformats.org/officeDocument/2006/relationships" name="Week_07" sheetId="9" state="visible" r:id="rId9"/>
    <sheet xmlns:r="http://schemas.openxmlformats.org/officeDocument/2006/relationships" name="Week_08" sheetId="10" state="visible" r:id="rId10"/>
    <sheet xmlns:r="http://schemas.openxmlformats.org/officeDocument/2006/relationships" name="Week_09" sheetId="11" state="visible" r:id="rId11"/>
    <sheet xmlns:r="http://schemas.openxmlformats.org/officeDocument/2006/relationships" name="Week_10" sheetId="12" state="visible" r:id="rId12"/>
    <sheet xmlns:r="http://schemas.openxmlformats.org/officeDocument/2006/relationships" name="Summary" sheetId="13" state="visible" r:id="rId13"/>
  </sheets>
  <definedNames/>
  <calcPr calcId="191029" fullCalcOnLoad="1" iterateDelta="0.0001"/>
</workbook>
</file>

<file path=xl/styles.xml><?xml version="1.0" encoding="utf-8"?>
<styleSheet xmlns="http://schemas.openxmlformats.org/spreadsheetml/2006/main">
  <numFmts count="0"/>
  <fonts count="12">
    <font>
      <name val="Calibri"/>
      <charset val="1"/>
      <family val="2"/>
      <color theme="1"/>
      <sz val="11"/>
    </font>
    <font>
      <name val="Arial"/>
      <charset val="1"/>
      <b val="1"/>
      <color rgb="FFFFFFFF"/>
      <sz val="16"/>
    </font>
    <font>
      <name val="Arial"/>
      <charset val="1"/>
      <i val="1"/>
      <color rgb="FFFFFFFF"/>
      <sz val="11"/>
    </font>
    <font>
      <name val="Arial"/>
      <charset val="1"/>
      <b val="1"/>
      <color rgb="FFFFFFFF"/>
      <sz val="11"/>
    </font>
    <font>
      <name val="Arial"/>
      <charset val="1"/>
      <color rgb="FF000000"/>
      <sz val="10"/>
    </font>
    <font>
      <name val="Arial"/>
      <charset val="1"/>
      <b val="1"/>
      <color rgb="FFFFFFFF"/>
      <sz val="15"/>
    </font>
    <font>
      <name val="Arial"/>
      <charset val="1"/>
      <b val="1"/>
      <color rgb="FF000000"/>
      <sz val="10"/>
    </font>
    <font>
      <name val="Arial"/>
      <charset val="1"/>
      <b val="1"/>
      <color rgb="FFFFFFFF"/>
      <sz val="14"/>
    </font>
    <font>
      <name val="Arial"/>
      <charset val="1"/>
      <i val="1"/>
      <color rgb="FF808080"/>
      <sz val="9"/>
    </font>
    <font>
      <name val="Arial"/>
      <charset val="1"/>
      <b val="1"/>
      <i val="1"/>
      <color rgb="FF000000"/>
      <sz val="10"/>
    </font>
    <font>
      <name val="Arial"/>
      <charset val="1"/>
      <i val="1"/>
      <color rgb="FFFFFFFF"/>
      <sz val="9"/>
    </font>
    <font>
      <name val="Arial"/>
      <charset val="1"/>
      <family val="2"/>
      <b val="1"/>
      <color rgb="FF000000"/>
      <sz val="10"/>
    </font>
  </fonts>
  <fills count="12">
    <fill>
      <patternFill/>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35">
    <xf numFmtId="0" fontId="0" fillId="0" borderId="0" pivotButton="0" quotePrefix="0" xfId="0"/>
    <xf numFmtId="0" fontId="6" fillId="9" borderId="1" applyAlignment="1" pivotButton="0" quotePrefix="0" xfId="0">
      <alignment horizontal="center" vertical="center" wrapText="1"/>
    </xf>
    <xf numFmtId="0" fontId="9" fillId="8" borderId="1" applyAlignment="1" pivotButton="0" quotePrefix="0" xfId="0">
      <alignment horizontal="left" vertical="center" wrapText="1"/>
    </xf>
    <xf numFmtId="0" fontId="6"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7" fillId="2" borderId="1" applyAlignment="1" pivotButton="0" quotePrefix="0" xfId="0">
      <alignment horizontal="center" vertical="center" wrapText="1"/>
    </xf>
    <xf numFmtId="0" fontId="6" fillId="0" borderId="2" applyAlignment="1" pivotButton="0" quotePrefix="0" xfId="0">
      <alignment horizontal="left" vertical="center" wrapText="1"/>
    </xf>
    <xf numFmtId="0" fontId="5" fillId="2" borderId="1" applyAlignment="1" pivotButton="0" quotePrefix="0" xfId="0">
      <alignment horizontal="center" vertical="center" wrapText="1"/>
    </xf>
    <xf numFmtId="0" fontId="3" fillId="5" borderId="1" applyAlignment="1" pivotButton="0" quotePrefix="0" xfId="0">
      <alignment horizontal="left" vertical="center" wrapText="1"/>
    </xf>
    <xf numFmtId="0" fontId="3" fillId="4" borderId="1" applyAlignment="1" pivotButton="0" quotePrefix="0" xfId="0">
      <alignment horizontal="left"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2"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4" fillId="0" borderId="1" applyAlignment="1" pivotButton="0" quotePrefix="0" xfId="0">
      <alignment horizontal="left" vertical="center" wrapText="1"/>
    </xf>
    <xf numFmtId="0" fontId="6" fillId="0" borderId="2" applyAlignment="1" pivotButton="0" quotePrefix="0" xfId="0">
      <alignment horizontal="left" vertical="center" wrapText="1"/>
    </xf>
    <xf numFmtId="0" fontId="6"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6" fillId="0" borderId="3" applyAlignment="1" pivotButton="0" quotePrefix="0" xfId="0">
      <alignment horizontal="left" vertical="center" wrapText="1"/>
    </xf>
    <xf numFmtId="0" fontId="6"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4" fillId="0" borderId="1" applyAlignment="1" pivotButton="0" quotePrefix="0" xfId="0">
      <alignment horizontal="left" vertical="center" wrapText="1"/>
    </xf>
    <xf numFmtId="0" fontId="8"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6" fillId="11" borderId="1" applyAlignment="1" pivotButton="0" quotePrefix="0" xfId="0">
      <alignment horizontal="left" vertical="center" wrapText="1"/>
    </xf>
    <xf numFmtId="0" fontId="6" fillId="0" borderId="1" applyAlignment="1" pivotButton="0" quotePrefix="0" xfId="0">
      <alignment horizontal="left" vertical="center" wrapText="1"/>
    </xf>
    <xf numFmtId="0" fontId="8" fillId="0" borderId="4" applyAlignment="1" pivotButton="0" quotePrefix="0" xfId="0">
      <alignment horizontal="left" vertical="center" wrapText="1"/>
    </xf>
    <xf numFmtId="0" fontId="10" fillId="2" borderId="1" applyAlignment="1" pivotButton="0" quotePrefix="0" xfId="0">
      <alignment horizontal="center" vertical="center" wrapText="1"/>
    </xf>
    <xf numFmtId="0" fontId="11" fillId="0" borderId="2" applyAlignment="1" pivotButton="0" quotePrefix="0" xfId="0">
      <alignment horizontal="left" vertical="center" wrapText="1"/>
    </xf>
    <xf numFmtId="0" fontId="0" fillId="0" borderId="7" pivotButton="0" quotePrefix="0" xfId="0"/>
    <xf numFmtId="0" fontId="0" fillId="0" borderId="3"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zoomScaleNormal="100" workbookViewId="0">
      <selection activeCell="A1" sqref="A1"/>
    </sheetView>
  </sheetViews>
  <sheetFormatPr baseColWidth="8" defaultColWidth="8.6328125" defaultRowHeight="14.5"/>
  <cols>
    <col width="3" customWidth="1" min="1" max="1"/>
    <col width="28" customWidth="1" min="2" max="2"/>
    <col width="84.36328125" customWidth="1" min="3" max="3"/>
  </cols>
  <sheetData>
    <row r="1" ht="13.5" customHeight="1"/>
    <row r="2" ht="36" customHeight="1">
      <c r="B2" s="14" t="inlineStr">
        <is>
          <t>FER202 — AI Log Template  |  Project Nhóm</t>
        </is>
      </c>
      <c r="C2" s="33" t="n"/>
    </row>
    <row r="3" ht="18" customHeight="1">
      <c r="B3" s="13" t="inlineStr">
        <is>
          <t>Hướng dẫn sử dụng  |  FPT University</t>
        </is>
      </c>
      <c r="C3" s="33" t="n"/>
    </row>
    <row r="5" ht="19.5" customHeight="1">
      <c r="B5" s="12" t="inlineStr">
        <is>
          <t>📌  MỤC ĐÍCH</t>
        </is>
      </c>
      <c r="C5" s="33" t="n"/>
    </row>
    <row r="6" ht="24.75" customHeight="1">
      <c r="B6" s="25" t="inlineStr">
        <is>
          <t>File này dùng để gì?</t>
        </is>
      </c>
      <c r="C6" s="25" t="inlineStr">
        <is>
          <t>Ghi lại nhật ký sử dụng AI của nhóm trong suốt project môn FER202 — theo từng tuần.</t>
        </is>
      </c>
    </row>
    <row r="7" ht="24.75" customHeight="1">
      <c r="B7" s="25" t="inlineStr">
        <is>
          <t>Ai điền?</t>
        </is>
      </c>
      <c r="C7" s="25" t="inlineStr">
        <is>
          <t>Mỗi thành viên tự điền phần của mình vào các bảng của tuần tương ứng. Trưởng nhóm tổng hợp và upload.</t>
        </is>
      </c>
    </row>
    <row r="8" ht="18" customHeight="1">
      <c r="B8" s="25" t="inlineStr">
        <is>
          <t>Nộp khi nào?</t>
        </is>
      </c>
      <c r="C8" s="25" t="inlineStr">
        <is>
          <t>Cuối mỗi tuần (hoặc theo deadline giảng viên). Một file duy nhất cho cả học kỳ.</t>
        </is>
      </c>
    </row>
    <row r="10" ht="19.5" customHeight="1">
      <c r="B10" s="11" t="inlineStr">
        <is>
          <t>📁  CÁC SHEET TRONG FILE</t>
        </is>
      </c>
      <c r="C10" s="33" t="n"/>
    </row>
    <row r="11">
      <c r="B11" s="25" t="inlineStr">
        <is>
          <t>Thông tin nhóm</t>
        </is>
      </c>
      <c r="C11" s="25" t="inlineStr">
        <is>
          <t>Điền 1 lần đầu học kỳ: tên nhóm, MSSV, phân công, mô tả project.</t>
        </is>
      </c>
    </row>
    <row r="12">
      <c r="B12" s="25" t="inlineStr">
        <is>
          <t>Week_01 → Week_10</t>
        </is>
      </c>
      <c r="C12" s="25" t="inlineStr">
        <is>
          <t>Mỗi tuần có 4 bảng: AI_Audit_Log, Changelog, Prompts, Reflection.</t>
        </is>
      </c>
    </row>
    <row r="13" ht="18" customHeight="1">
      <c r="B13" s="25" t="inlineStr">
        <is>
          <t>Summary</t>
        </is>
      </c>
      <c r="C13" s="25" t="inlineStr">
        <is>
          <t>Tổng hợp tự động (công thức) số lần dùng AI, mức hỗ trợ theo từng tuần/thành viên.</t>
        </is>
      </c>
    </row>
    <row r="15" ht="19.5" customHeight="1">
      <c r="B15" s="10" t="inlineStr">
        <is>
          <t>📝  4 BẢNG TRONG MỖI TUẦN</t>
        </is>
      </c>
      <c r="C15" s="33" t="n"/>
    </row>
    <row r="16" ht="24.75" customHeight="1">
      <c r="B16" s="25" t="inlineStr">
        <is>
          <t>BẢNG 1 — AI_AUDIT_LOG</t>
        </is>
      </c>
      <c r="C16" s="25" t="inlineStr">
        <is>
          <t>Ghi mỗi lần dùng AI: ngày, ai dùng, tool, mục đích, mức hỗ trợ, đã chỉnh sửa gì, kiểm chứng.</t>
        </is>
      </c>
    </row>
    <row r="17" ht="24.75" customHeight="1">
      <c r="B17" s="25" t="inlineStr">
        <is>
          <t>BẢNG 2 — CHANGELOG</t>
        </is>
      </c>
      <c r="C17" s="25" t="inlineStr">
        <is>
          <t>Ghi thay đổi project trong tuần (Added / Changed / Fixed / Removed). Không bắt buộc gắn với AI.</t>
        </is>
      </c>
    </row>
    <row r="18" ht="24.75" customHeight="1">
      <c r="B18" s="25" t="inlineStr">
        <is>
          <t>BẢNG 3 — PROMPTS</t>
        </is>
      </c>
      <c r="C18" s="25" t="inlineStr">
        <is>
          <t>Ghi chi tiết từng prompt quan trọng đã dùng: nội dung, kết quả AI trả về, cách nhóm sử dụng/chỉnh sửa.</t>
        </is>
      </c>
    </row>
    <row r="19" ht="24.75" customHeight="1">
      <c r="B19" s="25" t="inlineStr">
        <is>
          <t>BẢNG 4 — REFLECTION</t>
        </is>
      </c>
      <c r="C19" s="25" t="inlineStr">
        <is>
          <t>Mỗi thành viên viết 1 block suy ngẫm cá nhân cuối tuần (đã làm gì, AI hỗ trợ ra sao, điểm chưa tốt).</t>
        </is>
      </c>
    </row>
    <row r="21" ht="19.5" customHeight="1">
      <c r="B21" s="9" t="inlineStr">
        <is>
          <t>✅  QUY ƯỚC</t>
        </is>
      </c>
      <c r="C21" s="33" t="n"/>
    </row>
    <row r="22">
      <c r="B22" s="25" t="inlineStr">
        <is>
          <t>Cột TV</t>
        </is>
      </c>
      <c r="C22" s="25" t="inlineStr">
        <is>
          <t>Dùng ký hiệu A / B / C / D / E (khớp với bảng Thông tin nhóm).</t>
        </is>
      </c>
    </row>
    <row r="23" ht="24.75" customHeight="1">
      <c r="B23" s="25" t="inlineStr">
        <is>
          <t>Mức hỗ trợ AI</t>
        </is>
      </c>
      <c r="C23" s="25" t="inlineStr">
        <is>
          <t>Low = AI gợi ý nhỏ  |  Medium = AI đóng góp đáng kể  |  High = AI tạo phần lớn nội dung</t>
        </is>
      </c>
    </row>
    <row r="24" ht="18" customHeight="1">
      <c r="B24" s="25" t="inlineStr">
        <is>
          <t>Loại Changelog</t>
        </is>
      </c>
      <c r="C24" s="25" t="inlineStr">
        <is>
          <t>Added = thêm mới  |  Changed = cải tiến  |  Fixed = sửa lỗi  |  Removed = xóa bỏ</t>
        </is>
      </c>
    </row>
    <row r="25" ht="18" customHeight="1">
      <c r="B25" s="25" t="inlineStr">
        <is>
          <t>(*) bắt buộc</t>
        </is>
      </c>
      <c r="C25" s="25" t="inlineStr">
        <is>
          <t>Các cột đánh dấu (*) là bắt buộc phải điền.</t>
        </is>
      </c>
    </row>
  </sheetData>
  <mergeCells count="6">
    <mergeCell ref="B21:C21"/>
    <mergeCell ref="B2:C2"/>
    <mergeCell ref="B15:C15"/>
    <mergeCell ref="B3:C3"/>
    <mergeCell ref="B5:C5"/>
    <mergeCell ref="B10:C1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4"/>
  <sheetViews>
    <sheetView showGridLines="0" tabSelected="1" zoomScaleNormal="100" workbookViewId="0">
      <selection activeCell="C5" sqref="C5:G5"/>
    </sheetView>
  </sheetViews>
  <sheetFormatPr baseColWidth="8" defaultColWidth="8.6328125" defaultRowHeight="14.5"/>
  <cols>
    <col width="3" customWidth="1" min="1" max="1"/>
    <col width="24" customWidth="1" min="2" max="2"/>
    <col width="32.90625" customWidth="1" min="3" max="3"/>
    <col width="18" customWidth="1" min="4" max="4"/>
    <col width="26" customWidth="1" min="5" max="5"/>
    <col width="18" customWidth="1" min="6" max="6"/>
    <col width="20" customWidth="1" min="7" max="7"/>
  </cols>
  <sheetData>
    <row r="1" ht="13.5" customHeight="1"/>
    <row r="2" ht="36" customHeight="1">
      <c r="B2" s="8" t="inlineStr">
        <is>
          <t>THÔNG TIN NHÓM — FER202</t>
        </is>
      </c>
      <c r="C2" s="34" t="n"/>
      <c r="D2" s="34" t="n"/>
      <c r="E2" s="34" t="n"/>
      <c r="F2" s="34" t="n"/>
      <c r="G2" s="33" t="n"/>
    </row>
    <row r="3" ht="19.5" customHeight="1">
      <c r="B3" s="11" t="inlineStr">
        <is>
          <t>📋  Thông tin lớp</t>
        </is>
      </c>
      <c r="C3" s="34" t="n"/>
      <c r="D3" s="34" t="n"/>
      <c r="E3" s="34" t="n"/>
      <c r="F3" s="34" t="n"/>
      <c r="G3" s="33" t="n"/>
    </row>
    <row r="4" ht="18" customHeight="1">
      <c r="B4" s="16" t="inlineStr">
        <is>
          <t>Mã lớp học</t>
        </is>
      </c>
      <c r="C4" s="16" t="inlineStr">
        <is>
          <t>FER202_SE20A07</t>
        </is>
      </c>
      <c r="D4" s="34" t="n"/>
      <c r="E4" s="34" t="n"/>
      <c r="F4" s="34" t="n"/>
      <c r="G4" s="34" t="n"/>
    </row>
    <row r="5" ht="18" customHeight="1">
      <c r="B5" s="16" t="inlineStr">
        <is>
          <t>Giảng viên</t>
        </is>
      </c>
      <c r="C5" s="16" t="inlineStr">
        <is>
          <t>Lê Thị Bích Tra  —  traltb@fe.edu.vn</t>
        </is>
      </c>
      <c r="D5" s="34" t="n"/>
      <c r="E5" s="34" t="n"/>
      <c r="F5" s="34" t="n"/>
      <c r="G5" s="34" t="n"/>
    </row>
    <row r="6" ht="18" customHeight="1">
      <c r="B6" s="16" t="inlineStr">
        <is>
          <t>Học kỳ / Năm học</t>
        </is>
      </c>
      <c r="C6" s="16" t="inlineStr">
        <is>
          <t>SU26</t>
        </is>
      </c>
      <c r="D6" s="34" t="n"/>
      <c r="E6" s="34" t="n"/>
      <c r="F6" s="34" t="n"/>
      <c r="G6" s="34" t="n"/>
    </row>
    <row r="7" ht="18" customHeight="1">
      <c r="B7" s="16" t="inlineStr">
        <is>
          <t>Tên nhóm</t>
        </is>
      </c>
      <c r="C7" s="16" t="inlineStr">
        <is>
          <t>Nhóm 5 — CafeHub (Hệ Thống Quản Lý Đặt Món &amp; Quầy Barista F&amp;B)</t>
        </is>
      </c>
      <c r="D7" s="34" t="n"/>
      <c r="E7" s="34" t="n"/>
      <c r="F7" s="34" t="n"/>
      <c r="G7" s="34" t="n"/>
    </row>
    <row r="8" ht="18" customHeight="1">
      <c r="B8" s="16" t="inlineStr">
        <is>
          <t>Số thành viên</t>
        </is>
      </c>
      <c r="C8" s="16" t="n">
        <v>5</v>
      </c>
      <c r="D8" s="34" t="n"/>
      <c r="E8" s="34" t="n"/>
      <c r="F8" s="34" t="n"/>
      <c r="G8" s="34" t="n"/>
    </row>
    <row r="10" ht="19.5" customHeight="1">
      <c r="B10" s="11" t="inlineStr">
        <is>
          <t>👥  Danh sách thành viên</t>
        </is>
      </c>
      <c r="C10" s="34" t="n"/>
      <c r="D10" s="34" t="n"/>
      <c r="E10" s="34" t="n"/>
      <c r="F10" s="34" t="n"/>
      <c r="G10" s="33" t="n"/>
    </row>
    <row r="11">
      <c r="B11" s="17" t="inlineStr">
        <is>
          <t>Ký hiệu (*)</t>
        </is>
      </c>
      <c r="C11" s="17" t="inlineStr">
        <is>
          <t>Họ và tên (*)</t>
        </is>
      </c>
      <c r="D11" s="17" t="inlineStr">
        <is>
          <t>MSSV (*)</t>
        </is>
      </c>
      <c r="E11" s="17" t="inlineStr">
        <is>
          <t>Email (*)</t>
        </is>
      </c>
      <c r="F11" s="17" t="inlineStr">
        <is>
          <t>Vai trò</t>
        </is>
      </c>
      <c r="G11" s="17" t="inlineStr">
        <is>
          <t>Ghi chú</t>
        </is>
      </c>
    </row>
    <row r="12" ht="18" customHeight="1">
      <c r="B12" s="18" t="inlineStr">
        <is>
          <t>A</t>
        </is>
      </c>
      <c r="C12" s="25" t="inlineStr">
        <is>
          <t>Võ Khắc Phúc</t>
        </is>
      </c>
      <c r="D12" s="25" t="inlineStr">
        <is>
          <t>SE180123</t>
        </is>
      </c>
      <c r="E12" s="25" t="inlineStr">
        <is>
          <t>phucvk@fe.edu.vn</t>
        </is>
      </c>
      <c r="F12" s="25" t="inlineStr">
        <is>
          <t>Trưởng nhóm</t>
        </is>
      </c>
      <c r="G12" s="25" t="inlineStr">
        <is>
          <t>Phụ trách cấu trúc project, Context API, Redux Toolkit, Deploy Vercel</t>
        </is>
      </c>
    </row>
    <row r="13" ht="18" customHeight="1">
      <c r="B13" s="18" t="inlineStr">
        <is>
          <t>B</t>
        </is>
      </c>
      <c r="C13" s="25" t="inlineStr">
        <is>
          <t>Nguyễn Văn An</t>
        </is>
      </c>
      <c r="D13" s="25" t="inlineStr">
        <is>
          <t>SE180124</t>
        </is>
      </c>
      <c r="E13" s="25" t="inlineStr">
        <is>
          <t>annv@fe.edu.vn</t>
        </is>
      </c>
      <c r="F13" s="25" t="inlineStr">
        <is>
          <t>Thành viên</t>
        </is>
      </c>
      <c r="G13" s="25" t="inlineStr">
        <is>
          <t>Phụ trách thiết kế UI/UX, Mockup, Responsive 3 breakpoints, Tailwind CSS</t>
        </is>
      </c>
    </row>
    <row r="14" ht="18" customHeight="1">
      <c r="B14" s="18" t="inlineStr">
        <is>
          <t>C</t>
        </is>
      </c>
      <c r="C14" s="25" t="inlineStr">
        <is>
          <t>Trần Lê Bình</t>
        </is>
      </c>
      <c r="D14" s="25" t="inlineStr">
        <is>
          <t>SE180125</t>
        </is>
      </c>
      <c r="E14" s="25" t="inlineStr">
        <is>
          <t>binhtl@fe.edu.vn</t>
        </is>
      </c>
      <c r="F14" s="25" t="inlineStr">
        <is>
          <t>Thành viên</t>
        </is>
      </c>
      <c r="G14" s="25" t="inlineStr">
        <is>
          <t>Phụ trách React Router, Custom Hooks (useFetch/useDebounce), Tối ưu hiệu năng</t>
        </is>
      </c>
    </row>
    <row r="15" ht="18" customHeight="1">
      <c r="B15" s="18" t="inlineStr">
        <is>
          <t>D</t>
        </is>
      </c>
      <c r="C15" s="25" t="inlineStr">
        <is>
          <t>Lê Hoàng Dũng</t>
        </is>
      </c>
      <c r="D15" s="25" t="inlineStr">
        <is>
          <t>SE180126</t>
        </is>
      </c>
      <c r="E15" s="25" t="inlineStr">
        <is>
          <t>dunglh@fe.edu.vn</t>
        </is>
      </c>
      <c r="F15" s="25" t="inlineStr">
        <is>
          <t>Thành viên</t>
        </is>
      </c>
      <c r="G15" s="25" t="inlineStr">
        <is>
          <t>Phụ trách Service Layer, Axios, json-server CRUD, Trạm POS/KDS Barista v3.2</t>
        </is>
      </c>
    </row>
    <row r="16" ht="18" customHeight="1">
      <c r="B16" s="18" t="inlineStr">
        <is>
          <t>E</t>
        </is>
      </c>
      <c r="C16" s="25" t="inlineStr">
        <is>
          <t>Phạm Minh Em</t>
        </is>
      </c>
      <c r="D16" s="25" t="inlineStr">
        <is>
          <t>SE180127</t>
        </is>
      </c>
      <c r="E16" s="25" t="inlineStr">
        <is>
          <t>empm@fe.edu.vn</t>
        </is>
      </c>
      <c r="F16" s="25" t="inlineStr">
        <is>
          <t>Thành viên</t>
        </is>
      </c>
      <c r="G16" s="25" t="inlineStr">
        <is>
          <t>Phụ trách Kiểm thử toàn app, Bảng đặc tả API, Slide &amp; Video Demo kết thúc môn</t>
        </is>
      </c>
    </row>
    <row r="18" ht="19.5" customHeight="1">
      <c r="B18" s="9" t="inlineStr">
        <is>
          <t>💡  Mô tả dự án</t>
        </is>
      </c>
      <c r="C18" s="34" t="n"/>
      <c r="D18" s="34" t="n"/>
      <c r="E18" s="34" t="n"/>
      <c r="F18" s="34" t="n"/>
      <c r="G18" s="33" t="n"/>
    </row>
    <row r="19" ht="19.5" customHeight="1">
      <c r="B19" s="29" t="inlineStr">
        <is>
          <t>Tên hệ thống</t>
        </is>
      </c>
      <c r="C19" s="16" t="n"/>
      <c r="D19" s="34" t="n"/>
      <c r="E19" s="34" t="n"/>
      <c r="F19" s="34" t="n"/>
      <c r="G19" s="34" t="n"/>
    </row>
    <row r="20" ht="19.5" customHeight="1">
      <c r="B20" s="29" t="inlineStr">
        <is>
          <t>Mô tả ngắn</t>
        </is>
      </c>
      <c r="C20" s="16" t="n"/>
      <c r="D20" s="34" t="n"/>
      <c r="E20" s="34" t="n"/>
      <c r="F20" s="34" t="n"/>
      <c r="G20" s="34" t="n"/>
    </row>
    <row r="21" ht="19.5" customHeight="1">
      <c r="B21" s="29" t="inlineStr">
        <is>
          <t>Công nghệ sử dụng</t>
        </is>
      </c>
      <c r="C21" s="16" t="n"/>
      <c r="D21" s="34" t="n"/>
      <c r="E21" s="34" t="n"/>
      <c r="F21" s="34" t="n"/>
      <c r="G21" s="34" t="n"/>
    </row>
    <row r="22" ht="19.5" customHeight="1">
      <c r="B22" s="29" t="inlineStr">
        <is>
          <t>Link repo (GitHub/GitLab)</t>
        </is>
      </c>
      <c r="C22" s="16" t="n"/>
      <c r="D22" s="34" t="n"/>
      <c r="E22" s="34" t="n"/>
      <c r="F22" s="34" t="n"/>
      <c r="G22" s="34" t="n"/>
    </row>
    <row r="23" ht="19.5" customHeight="1">
      <c r="B23" s="29" t="inlineStr">
        <is>
          <t>Link Jira</t>
        </is>
      </c>
      <c r="C23" s="16" t="n"/>
      <c r="D23" s="20" t="n"/>
      <c r="E23" s="20" t="n"/>
      <c r="F23" s="20" t="n"/>
      <c r="G23" s="20" t="n"/>
    </row>
    <row r="24" ht="19.5" customHeight="1">
      <c r="B24" s="29" t="inlineStr">
        <is>
          <t>Link demo</t>
        </is>
      </c>
      <c r="C24" s="16" t="n"/>
      <c r="D24" s="34" t="n"/>
      <c r="E24" s="34" t="n"/>
      <c r="F24" s="34" t="n"/>
      <c r="G24" s="34" t="n"/>
    </row>
  </sheetData>
  <mergeCells count="14">
    <mergeCell ref="B3:G3"/>
    <mergeCell ref="B2:G2"/>
    <mergeCell ref="C7:G7"/>
    <mergeCell ref="C21:G21"/>
    <mergeCell ref="C20:G20"/>
    <mergeCell ref="B10:G10"/>
    <mergeCell ref="C4:G4"/>
    <mergeCell ref="C6:G6"/>
    <mergeCell ref="C24:G24"/>
    <mergeCell ref="C19:G19"/>
    <mergeCell ref="C5:G5"/>
    <mergeCell ref="B18:G18"/>
    <mergeCell ref="C22:G22"/>
    <mergeCell ref="C8:G8"/>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I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10/05/2026</t>
        </is>
      </c>
      <c r="C8" s="25" t="inlineStr">
        <is>
          <t>A</t>
        </is>
      </c>
      <c r="D8" s="25" t="inlineStr">
        <is>
          <t>ChatGPT-4o</t>
        </is>
      </c>
      <c r="E8" s="25" t="inlineStr">
        <is>
          <t>Tư vấn cấu trúc thư mục chuẩn cho project React 18 + Vite + Bootstrap</t>
        </is>
      </c>
      <c r="F8" s="25" t="inlineStr">
        <is>
          <t>cafehub/</t>
        </is>
      </c>
      <c r="G8" s="25" t="inlineStr">
        <is>
          <t>Low</t>
        </is>
      </c>
      <c r="H8" s="25" t="inlineStr">
        <is>
          <t>Bỏ thư mục redux/ lúc đầu, bổ sung src/services và src/context</t>
        </is>
      </c>
      <c r="I8" s="25" t="inlineStr">
        <is>
          <t>Đối chiếu tài liệu Vite, chạy npm run dev không lỗi</t>
        </is>
      </c>
    </row>
    <row r="9" ht="18" customHeight="1">
      <c r="B9" s="25" t="inlineStr">
        <is>
          <t>11/05/2026</t>
        </is>
      </c>
      <c r="C9" s="25" t="inlineStr">
        <is>
          <t>B</t>
        </is>
      </c>
      <c r="D9" s="25" t="inlineStr">
        <is>
          <t>Google Stitch</t>
        </is>
      </c>
      <c r="E9" s="25" t="inlineStr">
        <is>
          <t>Tạo mockup Trang chủ, Danh sách thực đơn đồ uống theo prompt 5 thành phần</t>
        </is>
      </c>
      <c r="F9" s="25" t="inlineStr">
        <is>
          <t>docs/mockup/menu.png</t>
        </is>
      </c>
      <c r="G9" s="25" t="inlineStr">
        <is>
          <t>High</t>
        </is>
      </c>
      <c r="H9" s="25" t="inlineStr">
        <is>
          <t>Chỉnh sửa lại layout lưới 4 cột, thêm huy hiệu giảm giá</t>
        </is>
      </c>
      <c r="I9" s="25" t="inlineStr">
        <is>
          <t>Đối chiếu checklist requirements 8/8 component</t>
        </is>
      </c>
    </row>
    <row r="10" ht="18" customHeight="1">
      <c r="B10" s="25" t="inlineStr">
        <is>
          <t>11/05/2026</t>
        </is>
      </c>
      <c r="C10" s="25" t="inlineStr">
        <is>
          <t>C</t>
        </is>
      </c>
      <c r="D10" s="25" t="inlineStr">
        <is>
          <t>Figma Make</t>
        </is>
      </c>
      <c r="E10" s="25" t="inlineStr">
        <is>
          <t>Tạo prototype tương tác Chi tiết đồ uống + Giỏ hàng và Checkout</t>
        </is>
      </c>
      <c r="F10" s="25" t="inlineStr">
        <is>
          <t>docs/mockup/figma-proto</t>
        </is>
      </c>
      <c r="G10" s="25" t="inlineStr">
        <is>
          <t>High</t>
        </is>
      </c>
      <c r="H10" s="25" t="inlineStr">
        <is>
          <t>Chỉnh màu chủ đạo cafe ấm áp, thêm hiệu ứng bấm tăng giảm số lượng</t>
        </is>
      </c>
      <c r="I10" s="25" t="inlineStr">
        <is>
          <t>Test click-through luồng Menu -&gt; Detail -&gt; Cart mượt mà</t>
        </is>
      </c>
    </row>
    <row r="11" ht="18" customHeight="1">
      <c r="B11" s="25" t="inlineStr">
        <is>
          <t>12/05/2026</t>
        </is>
      </c>
      <c r="C11" s="25" t="inlineStr">
        <is>
          <t>D</t>
        </is>
      </c>
      <c r="D11" s="25" t="inlineStr">
        <is>
          <t>ChatGPT-4o</t>
        </is>
      </c>
      <c r="E11" s="25" t="inlineStr">
        <is>
          <t>Thiết kế cấu trúc db.json cho CafeHub: drinks, categories, orders</t>
        </is>
      </c>
      <c r="F11" s="25" t="inlineStr">
        <is>
          <t>db.json</t>
        </is>
      </c>
      <c r="G11" s="25" t="inlineStr">
        <is>
          <t>Medium</t>
        </is>
      </c>
      <c r="H11" s="25" t="inlineStr">
        <is>
          <t>Đổi price sang dạng số (VND), cấu hình trường rating &lt;= 5</t>
        </is>
      </c>
      <c r="I11" s="25" t="inlineStr">
        <is>
          <t>Kiểm tra json-server GET /drinks trả về đúng mảng JSON</t>
        </is>
      </c>
    </row>
    <row r="12" ht="18" customHeight="1">
      <c r="B12" s="25" t="inlineStr">
        <is>
          <t>13/05/2026</t>
        </is>
      </c>
      <c r="C12" s="25" t="inlineStr">
        <is>
          <t>E</t>
        </is>
      </c>
      <c r="D12" s="25" t="inlineStr">
        <is>
          <t>Claude 3.5 Sonnet</t>
        </is>
      </c>
      <c r="E12" s="25" t="inlineStr">
        <is>
          <t>Vẽ sơ đồ Component Tree từ mockup cho 4 màn hình chính</t>
        </is>
      </c>
      <c r="F12" s="25" t="inlineStr">
        <is>
          <t>docs/component-tree.md</t>
        </is>
      </c>
      <c r="G12" s="25" t="inlineStr">
        <is>
          <t>Medium</t>
        </is>
      </c>
      <c r="H12" s="25" t="inlineStr">
        <is>
          <t>Hợp nhất 2 DrinkCard thành 1 component tái sử dụng, thêm Footer</t>
        </is>
      </c>
      <c r="I12" s="25" t="inlineStr">
        <is>
          <t>Cả nhóm họp thẩm định, khớp hoàn toàn với mockup</t>
        </is>
      </c>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Khởi tạo project Vite React 18, cấu trúc thư mục src/</t>
        </is>
      </c>
      <c r="E21" s="25" t="n"/>
      <c r="F21" s="25" t="n"/>
      <c r="G21" s="25" t="inlineStr">
        <is>
          <t>src/</t>
        </is>
      </c>
      <c r="H21" s="25" t="n"/>
      <c r="I21" s="25" t="inlineStr">
        <is>
          <t>Cài đặt bootstrap, axios, react-router-dom</t>
        </is>
      </c>
    </row>
    <row r="22" ht="18" customHeight="1">
      <c r="B22" s="25" t="n"/>
      <c r="C22" s="25" t="inlineStr">
        <is>
          <t>D</t>
        </is>
      </c>
      <c r="D22" s="25" t="inlineStr">
        <is>
          <t>Tạo file dữ liệu db.json ban đầu với 12 món uống mẫu</t>
        </is>
      </c>
      <c r="E22" s="25" t="n"/>
      <c r="F22" s="25" t="n"/>
      <c r="G22" s="25" t="inlineStr">
        <is>
          <t>db.json</t>
        </is>
      </c>
      <c r="H22" s="25" t="n"/>
      <c r="I22" s="25" t="inlineStr">
        <is>
          <t>Cấu hình json-server port 3001</t>
        </is>
      </c>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E</t>
        </is>
      </c>
      <c r="D25" s="25" t="inlineStr">
        <is>
          <t>Cập nhật tài liệu README.md và hướng dẫn chạy project</t>
        </is>
      </c>
      <c r="E25" s="25" t="n"/>
      <c r="F25" s="25" t="n"/>
      <c r="G25" s="25" t="inlineStr">
        <is>
          <t>README.md</t>
        </is>
      </c>
      <c r="H25" s="25" t="n"/>
      <c r="I25" s="25" t="inlineStr">
        <is>
          <t>Thêm lệnh npm run dev và npm run server</t>
        </is>
      </c>
    </row>
    <row r="26" ht="18" customHeight="1">
      <c r="B26" s="25" t="n"/>
      <c r="C26" s="25" t="n"/>
      <c r="D26" s="25" t="n"/>
      <c r="E26" s="25" t="n"/>
      <c r="F26" s="25" t="n"/>
      <c r="G26" s="25" t="n"/>
      <c r="H26" s="25" t="n"/>
      <c r="I26" s="25" t="n"/>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01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17/05/2026</t>
        </is>
      </c>
      <c r="C8" s="25" t="inlineStr">
        <is>
          <t>A</t>
        </is>
      </c>
      <c r="D8" s="25" t="inlineStr">
        <is>
          <t>GitHub Copilot</t>
        </is>
      </c>
      <c r="E8" s="25" t="inlineStr">
        <is>
          <t>Hỗ trợ viết nhanh cấu trúc JSX cho Header và Footer component</t>
        </is>
      </c>
      <c r="F8" s="25" t="inlineStr">
        <is>
          <t>src/components/Header.jsx</t>
        </is>
      </c>
      <c r="G8" s="25" t="inlineStr">
        <is>
          <t>Low</t>
        </is>
      </c>
      <c r="H8" s="25" t="inlineStr">
        <is>
          <t>Sửa lại các thuộc tính class thành className, thêm cart badge</t>
        </is>
      </c>
      <c r="I8" s="25" t="inlineStr">
        <is>
          <t>Kiểm tra DevTools không có lỗi đỏ ở console</t>
        </is>
      </c>
    </row>
    <row r="9" ht="18" customHeight="1">
      <c r="B9" s="25" t="inlineStr">
        <is>
          <t>18/05/2026</t>
        </is>
      </c>
      <c r="C9" s="25" t="inlineStr">
        <is>
          <t>B</t>
        </is>
      </c>
      <c r="D9" s="25" t="inlineStr">
        <is>
          <t>ChatGPT-4o</t>
        </is>
      </c>
      <c r="E9" s="25" t="inlineStr">
        <is>
          <t>Tạo Banner Hero section với gradient và biểu thức JS inline CSS</t>
        </is>
      </c>
      <c r="F9" s="25" t="inlineStr">
        <is>
          <t>src/components/Banner.jsx</t>
        </is>
      </c>
      <c r="G9" s="25" t="inlineStr">
        <is>
          <t>Low</t>
        </is>
      </c>
      <c r="H9" s="25" t="inlineStr">
        <is>
          <t>Tùy chỉnh màu sắc phù hợp tone cafe, thêm nút Khám phá</t>
        </is>
      </c>
      <c r="I9" s="25" t="inlineStr">
        <is>
          <t>Hiển thị đẹp mắt trên trình duyệt</t>
        </is>
      </c>
    </row>
    <row r="10" ht="18" customHeight="1">
      <c r="B10" s="25" t="inlineStr">
        <is>
          <t>19/05/2026</t>
        </is>
      </c>
      <c r="C10" s="25" t="inlineStr">
        <is>
          <t>C</t>
        </is>
      </c>
      <c r="D10" s="25" t="inlineStr">
        <is>
          <t>Claude 3.5 Sonnet</t>
        </is>
      </c>
      <c r="E10" s="25" t="inlineStr">
        <is>
          <t>Tạo thẻ DrinkCard và sử dụng map() render danh sách DrinkGrid</t>
        </is>
      </c>
      <c r="F10" s="25" t="inlineStr">
        <is>
          <t>src/components/DrinkGrid.jsx</t>
        </is>
      </c>
      <c r="G10" s="25" t="inlineStr">
        <is>
          <t>Medium</t>
        </is>
      </c>
      <c r="H10" s="25" t="inlineStr">
        <is>
          <t>Bổ sung thuộc tính key={drink.id} trong vòng lặp map()</t>
        </is>
      </c>
      <c r="I10" s="25" t="inlineStr">
        <is>
          <t>Kiểm tra React DevTools xác nhận không có warning về key</t>
        </is>
      </c>
    </row>
    <row r="11" ht="18" customHeight="1">
      <c r="B11" s="25" t="inlineStr">
        <is>
          <t>20/05/2026</t>
        </is>
      </c>
      <c r="C11" s="25" t="inlineStr">
        <is>
          <t>D</t>
        </is>
      </c>
      <c r="D11" s="25" t="inlineStr">
        <is>
          <t>GitHub Copilot</t>
        </is>
      </c>
      <c r="E11" s="25" t="inlineStr">
        <is>
          <t>Viết CategoryList với conditional rendering (toán tử &amp;&amp; và ternary)</t>
        </is>
      </c>
      <c r="F11" s="25" t="inlineStr">
        <is>
          <t>src/components/CategoryList.jsx</t>
        </is>
      </c>
      <c r="G11" s="25" t="inlineStr">
        <is>
          <t>Medium</t>
        </is>
      </c>
      <c r="H11" s="25" t="inlineStr">
        <is>
          <t>Xử lý trạng thái rỗng khi categories.length === 0</t>
        </is>
      </c>
      <c r="I11" s="25" t="inlineStr">
        <is>
          <t>Test thử khi mảng rỗng hiển thị Không có danh mục</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component Header.jsx và Footer.jsx tĩnh</t>
        </is>
      </c>
      <c r="E21" s="25" t="n"/>
      <c r="F21" s="25" t="n"/>
      <c r="G21" s="25" t="inlineStr">
        <is>
          <t>src/components/Header.jsx</t>
        </is>
      </c>
      <c r="H21" s="25" t="n"/>
      <c r="I21" s="25" t="inlineStr">
        <is>
          <t>Sử dụng JSX chuẩn</t>
        </is>
      </c>
    </row>
    <row r="22" ht="18" customHeight="1">
      <c r="B22" s="25" t="n"/>
      <c r="C22" s="25" t="inlineStr">
        <is>
          <t>C</t>
        </is>
      </c>
      <c r="D22" s="25" t="inlineStr">
        <is>
          <t>Tạo DrinkCard.jsx và DrinkGrid.jsx hiển thị danh sách tĩnh</t>
        </is>
      </c>
      <c r="E22" s="25" t="n"/>
      <c r="F22" s="25" t="n"/>
      <c r="G22" s="25" t="inlineStr">
        <is>
          <t>src/components/DrinkGrid.jsx</t>
        </is>
      </c>
      <c r="H22" s="25" t="n"/>
      <c r="I22" s="25" t="inlineStr">
        <is>
          <t>Dùng Array.map render list</t>
        </is>
      </c>
    </row>
    <row r="23" ht="18" customHeight="1">
      <c r="B23" s="25" t="n"/>
      <c r="C23" s="25" t="inlineStr">
        <is>
          <t>D</t>
        </is>
      </c>
      <c r="D23" s="25" t="inlineStr">
        <is>
          <t>Tạo CategoryList.jsx lọc danh mục nhanh</t>
        </is>
      </c>
      <c r="E23" s="25" t="n"/>
      <c r="F23" s="25" t="n"/>
      <c r="G23" s="25" t="inlineStr">
        <is>
          <t>src/components/CategoryList.jsx</t>
        </is>
      </c>
      <c r="H23" s="25" t="n"/>
      <c r="I23" s="25" t="inlineStr">
        <is>
          <t>Áp dụng conditional rendering</t>
        </is>
      </c>
    </row>
    <row r="24" ht="15.75" customHeight="1">
      <c r="B24" s="2" t="inlineStr">
        <is>
          <t>Changed — Cải tiến</t>
        </is>
      </c>
      <c r="C24" s="34" t="n"/>
      <c r="D24" s="34" t="n"/>
      <c r="E24" s="34" t="n"/>
      <c r="F24" s="34" t="n"/>
      <c r="G24" s="34" t="n"/>
      <c r="H24" s="34" t="n"/>
      <c r="I24" s="33" t="n"/>
    </row>
    <row r="25" ht="18" customHeight="1">
      <c r="B25" s="25" t="n"/>
      <c r="C25" s="25" t="inlineStr">
        <is>
          <t>B</t>
        </is>
      </c>
      <c r="D25" s="25" t="inlineStr">
        <is>
          <t>Tích hợp 5 component vào App.jsx theo đúng layout cấu trúc</t>
        </is>
      </c>
      <c r="E25" s="25" t="n"/>
      <c r="F25" s="25" t="n"/>
      <c r="G25" s="25" t="inlineStr">
        <is>
          <t>src/App.jsx</t>
        </is>
      </c>
      <c r="H25" s="25" t="n"/>
      <c r="I25" s="25" t="inlineStr">
        <is>
          <t>Đảm bảo thứ tự hiển thị chuẩn</t>
        </is>
      </c>
    </row>
    <row r="26" ht="18" customHeight="1">
      <c r="B26" s="25" t="n"/>
      <c r="C26" s="25" t="n"/>
      <c r="D26" s="25" t="n"/>
      <c r="E26" s="25" t="n"/>
      <c r="F26" s="25" t="n"/>
      <c r="G26" s="25" t="n"/>
      <c r="H26" s="25" t="n"/>
      <c r="I26" s="25" t="n"/>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02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A71" sqref="A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24/05/2026</t>
        </is>
      </c>
      <c r="C8" s="25" t="inlineStr">
        <is>
          <t>A</t>
        </is>
      </c>
      <c r="D8" s="25" t="inlineStr">
        <is>
          <t>ChatGPT-4o</t>
        </is>
      </c>
      <c r="E8" s="25" t="inlineStr">
        <is>
          <t>Refactor DrinkCard để nhận object drink qua props thay vì hardcode</t>
        </is>
      </c>
      <c r="F8" s="25" t="inlineStr">
        <is>
          <t>src/components/DrinkCard.jsx</t>
        </is>
      </c>
      <c r="G8" s="25" t="inlineStr">
        <is>
          <t>Low</t>
        </is>
      </c>
      <c r="H8" s="25" t="inlineStr">
        <is>
          <t>Thêm định dạng giá tiền toLocaleString("vi-VN") + đ</t>
        </is>
      </c>
      <c r="I8" s="25" t="inlineStr">
        <is>
          <t>Kiểm tra DevTools Props Panel hiển thị đúng data</t>
        </is>
      </c>
    </row>
    <row r="9" ht="18" customHeight="1">
      <c r="B9" s="25" t="inlineStr">
        <is>
          <t>25/05/2026</t>
        </is>
      </c>
      <c r="C9" s="25" t="inlineStr">
        <is>
          <t>B</t>
        </is>
      </c>
      <c r="D9" s="25" t="inlineStr">
        <is>
          <t>Claude 3.5 Sonnet</t>
        </is>
      </c>
      <c r="E9" s="25" t="inlineStr">
        <is>
          <t>Refactor DrinkGrid và CategoryList truyền props mảng động từ cha</t>
        </is>
      </c>
      <c r="F9" s="25" t="inlineStr">
        <is>
          <t>src/components/DrinkGrid.jsx</t>
        </is>
      </c>
      <c r="G9" s="25" t="inlineStr">
        <is>
          <t>Low</t>
        </is>
      </c>
      <c r="H9" s="25" t="inlineStr">
        <is>
          <t>Kiểm tra điều kiện drinks trống trước khi render</t>
        </is>
      </c>
      <c r="I9" s="25" t="inlineStr">
        <is>
          <t>Luồng dữ liệu cha xuống con mượt mà</t>
        </is>
      </c>
    </row>
    <row r="10" ht="18" customHeight="1">
      <c r="B10" s="25" t="inlineStr">
        <is>
          <t>26/05/2026</t>
        </is>
      </c>
      <c r="C10" s="25" t="inlineStr">
        <is>
          <t>C</t>
        </is>
      </c>
      <c r="D10" s="25" t="inlineStr">
        <is>
          <t>GitHub Copilot</t>
        </is>
      </c>
      <c r="E10" s="25" t="inlineStr">
        <is>
          <t>Viết layout generic SectionWrapper.jsx sử dụng props.children</t>
        </is>
      </c>
      <c r="F10" s="25" t="inlineStr">
        <is>
          <t>src/components/SectionWrapper.jsx</t>
        </is>
      </c>
      <c r="G10" s="25" t="inlineStr">
        <is>
          <t>Medium</t>
        </is>
      </c>
      <c r="H10" s="25" t="inlineStr">
        <is>
          <t>Thêm prop backgroundColor và xử lý subtitle tùy chọn</t>
        </is>
      </c>
      <c r="I10" s="25" t="inlineStr">
        <is>
          <t>Tái sử dụng tại 3 vị trí khác nhau trong App.jsx</t>
        </is>
      </c>
    </row>
    <row r="11" ht="18" customHeight="1">
      <c r="B11" s="25" t="inlineStr">
        <is>
          <t>27/05/2026</t>
        </is>
      </c>
      <c r="C11" s="25" t="inlineStr">
        <is>
          <t>E</t>
        </is>
      </c>
      <c r="D11" s="25" t="inlineStr">
        <is>
          <t>ChatGPT-4o</t>
        </is>
      </c>
      <c r="E11" s="25" t="inlineStr">
        <is>
          <t>Vẽ sơ đồ One-way Data Flow cho hệ thống CafeHub</t>
        </is>
      </c>
      <c r="F11" s="25" t="inlineStr">
        <is>
          <t>docs/week03-dataflow.md</t>
        </is>
      </c>
      <c r="G11" s="25" t="inlineStr">
        <is>
          <t>Medium</t>
        </is>
      </c>
      <c r="H11" s="25" t="inlineStr">
        <is>
          <t>Định dạng lại bằng Mermaid sequence diagram rõ ràng</t>
        </is>
      </c>
      <c r="I11" s="25" t="inlineStr">
        <is>
          <t>Được trưởng nhóm A duyệt đúng với luồng code thực tế</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C</t>
        </is>
      </c>
      <c r="D21" s="25" t="inlineStr">
        <is>
          <t>Tạo component SectionWrapper.jsx với props.children</t>
        </is>
      </c>
      <c r="E21" s="25" t="n"/>
      <c r="F21" s="25" t="n"/>
      <c r="G21" s="25" t="inlineStr">
        <is>
          <t>src/components/SectionWrapper.jsx</t>
        </is>
      </c>
      <c r="H21" s="25" t="n"/>
      <c r="I21" s="25" t="inlineStr">
        <is>
          <t>Layout wrapper tái sử dụng</t>
        </is>
      </c>
    </row>
    <row r="22" ht="18" customHeight="1">
      <c r="B22" s="25" t="n"/>
      <c r="C22" s="25" t="n"/>
      <c r="D22" s="25" t="n"/>
      <c r="E22" s="25" t="n"/>
      <c r="F22" s="25" t="n"/>
      <c r="G22" s="25" t="n"/>
      <c r="H22" s="25" t="n"/>
      <c r="I22" s="25" t="n"/>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A</t>
        </is>
      </c>
      <c r="D25" s="25" t="inlineStr">
        <is>
          <t>Refactor DrinkCard.jsx nhận props động từ component cha</t>
        </is>
      </c>
      <c r="E25" s="25" t="n"/>
      <c r="F25" s="25" t="n"/>
      <c r="G25" s="25" t="inlineStr">
        <is>
          <t>src/components/DrinkCard.jsx</t>
        </is>
      </c>
      <c r="H25" s="25" t="n"/>
      <c r="I25" s="25" t="inlineStr">
        <is>
          <t>Xóa hoàn toàn dữ liệu hardcode</t>
        </is>
      </c>
    </row>
    <row r="26" ht="18" customHeight="1">
      <c r="B26" s="25" t="n"/>
      <c r="C26" s="25" t="inlineStr">
        <is>
          <t>B</t>
        </is>
      </c>
      <c r="D26" s="25" t="inlineStr">
        <is>
          <t>Refactor DrinkGrid.jsx và CategoryList.jsx dùng props</t>
        </is>
      </c>
      <c r="E26" s="25" t="n"/>
      <c r="F26" s="25" t="n"/>
      <c r="G26" s="25" t="inlineStr">
        <is>
          <t>src/components/DrinkGrid.jsx</t>
        </is>
      </c>
      <c r="H26" s="25" t="n"/>
      <c r="I26" s="25" t="inlineStr">
        <is>
          <t>Chuẩn hóa luồng 1 chiều</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03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31/05/2026</t>
        </is>
      </c>
      <c r="C8" s="25" t="inlineStr">
        <is>
          <t>A</t>
        </is>
      </c>
      <c r="D8" s="25" t="inlineStr">
        <is>
          <t>ChatGPT-4o</t>
        </is>
      </c>
      <c r="E8" s="25" t="inlineStr">
        <is>
          <t>Thiết lập state controlled cho SearchBar (searchTerm bind với input)</t>
        </is>
      </c>
      <c r="F8" s="25" t="inlineStr">
        <is>
          <t>src/components/SearchBar.jsx</t>
        </is>
      </c>
      <c r="G8" s="25" t="inlineStr">
        <is>
          <t>Low</t>
        </is>
      </c>
      <c r="H8" s="25" t="inlineStr">
        <is>
          <t>Thêm nút xóa nhanh Clear khi input có chữ</t>
        </is>
      </c>
      <c r="I8" s="25" t="inlineStr">
        <is>
          <t>Gõ từ khóa input cập nhật tức thì</t>
        </is>
      </c>
    </row>
    <row r="9" ht="18" customHeight="1">
      <c r="B9" s="25" t="inlineStr">
        <is>
          <t>01/06/2026</t>
        </is>
      </c>
      <c r="C9" s="25" t="inlineStr">
        <is>
          <t>B</t>
        </is>
      </c>
      <c r="D9" s="25" t="inlineStr">
        <is>
          <t>Claude 3.5 Sonnet</t>
        </is>
      </c>
      <c r="E9" s="25" t="inlineStr">
        <is>
          <t>Triển khai state giỏ hàng cart trong App.jsx với quy tắc immutable</t>
        </is>
      </c>
      <c r="F9" s="25" t="inlineStr">
        <is>
          <t>src/App.jsx</t>
        </is>
      </c>
      <c r="G9" s="25" t="inlineStr">
        <is>
          <t>High</t>
        </is>
      </c>
      <c r="H9" s="25" t="inlineStr">
        <is>
          <t>Sửa setCart(cart.push(item)) sai thành setCart(prev =&gt; [...prev, item])</t>
        </is>
      </c>
      <c r="I9" s="25" t="inlineStr">
        <is>
          <t>Sách thêm vào giỏ không bị duplicate, cộng dồn số lượng đúng</t>
        </is>
      </c>
    </row>
    <row r="10" ht="18" customHeight="1">
      <c r="B10" s="25" t="inlineStr">
        <is>
          <t>02/06/2026</t>
        </is>
      </c>
      <c r="C10" s="25" t="inlineStr">
        <is>
          <t>C</t>
        </is>
      </c>
      <c r="D10" s="25" t="inlineStr">
        <is>
          <t>GitHub Copilot</t>
        </is>
      </c>
      <c r="E10" s="25" t="inlineStr">
        <is>
          <t>Thực hiện Lifting State Up cho bộ lọc danh mục activeCategory</t>
        </is>
      </c>
      <c r="F10" s="25" t="inlineStr">
        <is>
          <t>src/pages/MenuPage.jsx</t>
        </is>
      </c>
      <c r="G10" s="25" t="inlineStr">
        <is>
          <t>Medium</t>
        </is>
      </c>
      <c r="H10" s="25" t="inlineStr">
        <is>
          <t>Kết hợp đồng thời lọc theo từ khóa search và lọc theo category</t>
        </is>
      </c>
      <c r="I10" s="25" t="inlineStr">
        <is>
          <t>Kiểm tra danh sách cập nhật chính xác theo 2 tiêu chí</t>
        </is>
      </c>
    </row>
    <row r="11" ht="18" customHeight="1">
      <c r="B11" s="25" t="inlineStr">
        <is>
          <t>03/06/2026</t>
        </is>
      </c>
      <c r="C11" s="25" t="inlineStr">
        <is>
          <t>D</t>
        </is>
      </c>
      <c r="D11" s="25" t="inlineStr">
        <is>
          <t>ChatGPT-4o</t>
        </is>
      </c>
      <c r="E11" s="25" t="inlineStr">
        <is>
          <t>Viết báo cáo giải thích bản chất reference check trong React state update</t>
        </is>
      </c>
      <c r="F11" s="25" t="inlineStr">
        <is>
          <t>BaoCao_HoanThanh_AllWeeks/</t>
        </is>
      </c>
      <c r="G11" s="25" t="inlineStr">
        <is>
          <t>Medium</t>
        </is>
      </c>
      <c r="H11" s="25" t="inlineStr">
        <is>
          <t>Đưa ví dụ minh họa vì sao mutate trực tiếp không trigger re-render</t>
        </is>
      </c>
      <c r="I11" s="25" t="inlineStr">
        <is>
          <t>Khớp với kiến thức bài giảng Mục 3.2</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SearchBar.jsx dạng controlled component</t>
        </is>
      </c>
      <c r="E21" s="25" t="n"/>
      <c r="F21" s="25" t="n"/>
      <c r="G21" s="25" t="inlineStr">
        <is>
          <t>src/components/SearchBar.jsx</t>
        </is>
      </c>
      <c r="H21" s="25" t="n"/>
      <c r="I21" s="25" t="inlineStr">
        <is>
          <t>Quản lý value qua state</t>
        </is>
      </c>
    </row>
    <row r="22" ht="18" customHeight="1">
      <c r="B22" s="25" t="n"/>
      <c r="C22" s="25" t="n"/>
      <c r="D22" s="25" t="n"/>
      <c r="E22" s="25" t="n"/>
      <c r="F22" s="25" t="n"/>
      <c r="G22" s="25" t="n"/>
      <c r="H22" s="25" t="n"/>
      <c r="I22" s="25" t="n"/>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B</t>
        </is>
      </c>
      <c r="D25" s="25" t="inlineStr">
        <is>
          <t>Lifting State Up lên MenuPage để kết hợp lọc và tìm kiếm</t>
        </is>
      </c>
      <c r="E25" s="25" t="n"/>
      <c r="F25" s="25" t="n"/>
      <c r="G25" s="25" t="inlineStr">
        <is>
          <t>src/pages/MenuPage.jsx</t>
        </is>
      </c>
      <c r="H25" s="25" t="n"/>
      <c r="I25" s="25" t="inlineStr">
        <is>
          <t>Quản lý activeCategory và searchTerm</t>
        </is>
      </c>
    </row>
    <row r="26" ht="18" customHeight="1">
      <c r="B26" s="25" t="n"/>
      <c r="C26" s="25" t="inlineStr">
        <is>
          <t>C</t>
        </is>
      </c>
      <c r="D26" s="25" t="inlineStr">
        <is>
          <t>Cập nhật logic thêm món vào giỏ hàng đảm bảo immutable</t>
        </is>
      </c>
      <c r="E26" s="25" t="n"/>
      <c r="F26" s="25" t="n"/>
      <c r="G26" s="25" t="inlineStr">
        <is>
          <t>src/App.jsx</t>
        </is>
      </c>
      <c r="H26" s="25" t="n"/>
      <c r="I26" s="25" t="inlineStr">
        <is>
          <t>Dùng spread operator không mutate array</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04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07/06/2026</t>
        </is>
      </c>
      <c r="C8" s="25" t="inlineStr">
        <is>
          <t>A</t>
        </is>
      </c>
      <c r="D8" s="25" t="inlineStr">
        <is>
          <t>ChatGPT-4o</t>
        </is>
      </c>
      <c r="E8" s="25" t="inlineStr">
        <is>
          <t>Chuyển đổi Header sang React-Bootstrap Navbar với Collapse menu</t>
        </is>
      </c>
      <c r="F8" s="25" t="inlineStr">
        <is>
          <t>src/components/Header.jsx</t>
        </is>
      </c>
      <c r="G8" s="25" t="inlineStr">
        <is>
          <t>Medium</t>
        </is>
      </c>
      <c r="H8" s="25" t="inlineStr">
        <is>
          <t>Sửa lỗi menu trên mobile không đóng mở được, thêm Badge giỏ hàng</t>
        </is>
      </c>
      <c r="I8" s="25" t="inlineStr">
        <is>
          <t>Test thử trên giao diện mobile 375px hoạt động tốt</t>
        </is>
      </c>
    </row>
    <row r="9" ht="18" customHeight="1">
      <c r="B9" s="25" t="inlineStr">
        <is>
          <t>08/06/2026</t>
        </is>
      </c>
      <c r="C9" s="25" t="inlineStr">
        <is>
          <t>B</t>
        </is>
      </c>
      <c r="D9" s="25" t="inlineStr">
        <is>
          <t>GitHub Copilot</t>
        </is>
      </c>
      <c r="E9" s="25" t="inlineStr">
        <is>
          <t>Chuyển đổi DrinkCard sang component Card của Bootstrap</t>
        </is>
      </c>
      <c r="F9" s="25" t="inlineStr">
        <is>
          <t>src/components/DrinkCard.jsx</t>
        </is>
      </c>
      <c r="G9" s="25" t="inlineStr">
        <is>
          <t>Low</t>
        </is>
      </c>
      <c r="H9" s="25" t="inlineStr">
        <is>
          <t>Sử dụng Card.Img, Card.Body và căn chỉnh nút bóp full chiều rộng</t>
        </is>
      </c>
      <c r="I9" s="25" t="inlineStr">
        <is>
          <t>Thẻ món uống đồng đều chiều cao h-100</t>
        </is>
      </c>
    </row>
    <row r="10" ht="18" customHeight="1">
      <c r="B10" s="25" t="inlineStr">
        <is>
          <t>09/06/2026</t>
        </is>
      </c>
      <c r="C10" s="25" t="inlineStr">
        <is>
          <t>C</t>
        </is>
      </c>
      <c r="D10" s="25" t="inlineStr">
        <is>
          <t>Claude 3.5 Sonnet</t>
        </is>
      </c>
      <c r="E10" s="25" t="inlineStr">
        <is>
          <t>Cấu hình hệ thống lưới Responsive Row/Col với các breakpoints xs/sm/md/lg</t>
        </is>
      </c>
      <c r="F10" s="25" t="inlineStr">
        <is>
          <t>src/components/DrinkGrid.jsx</t>
        </is>
      </c>
      <c r="G10" s="25" t="inlineStr">
        <is>
          <t>High</t>
        </is>
      </c>
      <c r="H10" s="25" t="inlineStr">
        <is>
          <t>Thiết lập xs={2} sm={3} md={4} lg={5} className="g-3"</t>
        </is>
      </c>
      <c r="I10" s="25" t="inlineStr">
        <is>
          <t>Test Chrome DevTools Device Toolbar không bị tràn ngang ở 375px</t>
        </is>
      </c>
    </row>
    <row r="11" ht="18" customHeight="1">
      <c r="B11" s="25" t="inlineStr">
        <is>
          <t>10/06/2026</t>
        </is>
      </c>
      <c r="C11" s="25" t="inlineStr">
        <is>
          <t>E</t>
        </is>
      </c>
      <c r="D11" s="25" t="inlineStr">
        <is>
          <t>ChatGPT-4o</t>
        </is>
      </c>
      <c r="E11" s="25" t="inlineStr">
        <is>
          <t>Kiểm thử 3 breakpoints (375/768/1280px) và tổng hợp báo cáo Bootstrap</t>
        </is>
      </c>
      <c r="F11" s="25" t="inlineStr">
        <is>
          <t>BaoCao_HoanThanh_AllWeeks/</t>
        </is>
      </c>
      <c r="G11" s="25" t="inlineStr">
        <is>
          <t>Low</t>
        </is>
      </c>
      <c r="H11" s="25" t="inlineStr">
        <is>
          <t>Lập bảng chi tiết các component Bootstrap đã sử dụng và cách customize</t>
        </is>
      </c>
      <c r="I11" s="25" t="inlineStr">
        <is>
          <t>Hoàn thành báo cáo Mục 3.2 Tuần 5</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E</t>
        </is>
      </c>
      <c r="D21" s="25" t="inlineStr">
        <is>
          <t>Tạo tài liệu và hình ảnh minh chứng Responsive 3 breakpoints</t>
        </is>
      </c>
      <c r="E21" s="25" t="n"/>
      <c r="F21" s="25" t="n"/>
      <c r="G21" s="25" t="inlineStr">
        <is>
          <t>docs/week05-responsive/</t>
        </is>
      </c>
      <c r="H21" s="25" t="n"/>
      <c r="I21" s="25" t="inlineStr">
        <is>
          <t>Kiểm tra mobile/tablet/desktop</t>
        </is>
      </c>
    </row>
    <row r="22" ht="18" customHeight="1">
      <c r="B22" s="25" t="n"/>
      <c r="C22" s="25" t="n"/>
      <c r="D22" s="25" t="n"/>
      <c r="E22" s="25" t="n"/>
      <c r="F22" s="25" t="n"/>
      <c r="G22" s="25" t="n"/>
      <c r="H22" s="25" t="n"/>
      <c r="I22" s="25" t="n"/>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A</t>
        </is>
      </c>
      <c r="D25" s="25" t="inlineStr">
        <is>
          <t>Refactor Header.jsx dùng Bootstrap Navbar &amp; Collapse</t>
        </is>
      </c>
      <c r="E25" s="25" t="n"/>
      <c r="F25" s="25" t="n"/>
      <c r="G25" s="25" t="inlineStr">
        <is>
          <t>src/components/Header.jsx</t>
        </is>
      </c>
      <c r="H25" s="25" t="n"/>
      <c r="I25" s="25" t="inlineStr">
        <is>
          <t>Hỗ trợ menu mobile tiện lợi</t>
        </is>
      </c>
    </row>
    <row r="26" ht="18" customHeight="1">
      <c r="B26" s="25" t="n"/>
      <c r="C26" s="25" t="inlineStr">
        <is>
          <t>B</t>
        </is>
      </c>
      <c r="D26" s="25" t="inlineStr">
        <is>
          <t>Refactor DrinkCard.jsx và DrinkGrid.jsx dùng Card, Row, Col</t>
        </is>
      </c>
      <c r="E26" s="25" t="n"/>
      <c r="F26" s="25" t="n"/>
      <c r="G26" s="25" t="inlineStr">
        <is>
          <t>src/components/DrinkGrid.jsx</t>
        </is>
      </c>
      <c r="H26" s="25" t="n"/>
      <c r="I26" s="25" t="inlineStr">
        <is>
          <t>Chuẩn hóa lưới responsive</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05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14/06/2026</t>
        </is>
      </c>
      <c r="C8" s="25" t="inlineStr">
        <is>
          <t>A</t>
        </is>
      </c>
      <c r="D8" s="25" t="inlineStr">
        <is>
          <t>ChatGPT-4o</t>
        </is>
      </c>
      <c r="E8" s="25" t="inlineStr">
        <is>
          <t>Cấu hình BrowserRouter và khai báo Routes trong App.jsx cho SPA</t>
        </is>
      </c>
      <c r="F8" s="25" t="inlineStr">
        <is>
          <t>src/App.jsx</t>
        </is>
      </c>
      <c r="G8" s="25" t="inlineStr">
        <is>
          <t>Medium</t>
        </is>
      </c>
      <c r="H8" s="25" t="inlineStr">
        <is>
          <t>Định nghĩa các route /, /menu, /drink/:id, /cart, /admin/*</t>
        </is>
      </c>
      <c r="I8" s="25" t="inlineStr">
        <is>
          <t>Chuyển trang mượt mà không reload trình duyệt</t>
        </is>
      </c>
    </row>
    <row r="9" ht="18" customHeight="1">
      <c r="B9" s="25" t="inlineStr">
        <is>
          <t>15/06/2026</t>
        </is>
      </c>
      <c r="C9" s="25" t="inlineStr">
        <is>
          <t>B</t>
        </is>
      </c>
      <c r="D9" s="25" t="inlineStr">
        <is>
          <t>Claude 3.5 Sonnet</t>
        </is>
      </c>
      <c r="E9" s="25" t="inlineStr">
        <is>
          <t>Sử dụng useParams() trong DrinkDetailPage để trích xuất id từ URL</t>
        </is>
      </c>
      <c r="F9" s="25" t="inlineStr">
        <is>
          <t>src/pages/DrinkDetailPage.jsx</t>
        </is>
      </c>
      <c r="G9" s="25" t="inlineStr">
        <is>
          <t>High</t>
        </is>
      </c>
      <c r="H9" s="25" t="inlineStr">
        <is>
          <t>Xử lý trường hợp id không tồn tại hiển thị thông báo lỗi và nút Quay lại</t>
        </is>
      </c>
      <c r="I9" s="25" t="inlineStr">
        <is>
          <t>Truy cập /drink/101 hiển thị đúng chi tiết món uống</t>
        </is>
      </c>
    </row>
    <row r="10" ht="18" customHeight="1">
      <c r="B10" s="25" t="inlineStr">
        <is>
          <t>16/06/2026</t>
        </is>
      </c>
      <c r="C10" s="25" t="inlineStr">
        <is>
          <t>C</t>
        </is>
      </c>
      <c r="D10" s="25" t="inlineStr">
        <is>
          <t>GitHub Copilot</t>
        </is>
      </c>
      <c r="E10" s="25" t="inlineStr">
        <is>
          <t>Xây dựng ProtectedRoute.jsx bảo vệ đường dẫn khu vực Admin/KDS</t>
        </is>
      </c>
      <c r="F10" s="25" t="inlineStr">
        <is>
          <t>src/components/ProtectedRoute.jsx</t>
        </is>
      </c>
      <c r="G10" s="25" t="inlineStr">
        <is>
          <t>Medium</t>
        </is>
      </c>
      <c r="H10" s="25" t="inlineStr">
        <is>
          <t>Nếu chưa đăng nhập tự động redirect về trang chủ bằng &lt;Navigate replace /&gt;</t>
        </is>
      </c>
      <c r="I10" s="25" t="inlineStr">
        <is>
          <t>Test thử truy cập vào /admin/orders khi chưa login bị chặn đúng</t>
        </is>
      </c>
    </row>
    <row r="11" ht="18" customHeight="1">
      <c r="B11" s="25" t="inlineStr">
        <is>
          <t>17/06/2026</t>
        </is>
      </c>
      <c r="C11" s="25" t="inlineStr">
        <is>
          <t>D</t>
        </is>
      </c>
      <c r="D11" s="25" t="inlineStr">
        <is>
          <t>ChatGPT-4o</t>
        </is>
      </c>
      <c r="E11" s="25" t="inlineStr">
        <is>
          <t>Thay đổi Nav.Link sử dụng as={NavLink} để tự động highlight menu active</t>
        </is>
      </c>
      <c r="F11" s="25" t="inlineStr">
        <is>
          <t>src/components/Header.jsx</t>
        </is>
      </c>
      <c r="G11" s="25" t="inlineStr">
        <is>
          <t>Low</t>
        </is>
      </c>
      <c r="H11" s="25" t="inlineStr">
        <is>
          <t>Thêm thuộc tính end cho route Trang chủ để tránh active nhầm</t>
        </is>
      </c>
      <c r="I11" s="25" t="inlineStr">
        <is>
          <t>Kiểm tra DevTools thẻ a có class active chính xác</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DrinkDetailPage.jsx hiển thị chi tiết theo useParams()</t>
        </is>
      </c>
      <c r="E21" s="25" t="n"/>
      <c r="F21" s="25" t="n"/>
      <c r="G21" s="25" t="inlineStr">
        <is>
          <t>src/pages/DrinkDetailPage.jsx</t>
        </is>
      </c>
      <c r="H21" s="25" t="n"/>
      <c r="I21" s="25" t="inlineStr">
        <is>
          <t>Hỗ trợ tham số động URL</t>
        </is>
      </c>
    </row>
    <row r="22" ht="18" customHeight="1">
      <c r="B22" s="25" t="n"/>
      <c r="C22" s="25" t="inlineStr">
        <is>
          <t>C</t>
        </is>
      </c>
      <c r="D22" s="25" t="inlineStr">
        <is>
          <t>Tạo ProtectedRoute.jsx và NotFoundPage.jsx (404)</t>
        </is>
      </c>
      <c r="E22" s="25" t="n"/>
      <c r="F22" s="25" t="n"/>
      <c r="G22" s="25" t="inlineStr">
        <is>
          <t>src/components/ProtectedRoute.jsx</t>
        </is>
      </c>
      <c r="H22" s="25" t="n"/>
      <c r="I22" s="25" t="inlineStr">
        <is>
          <t>Bảo mật route admin</t>
        </is>
      </c>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A</t>
        </is>
      </c>
      <c r="D25" s="25" t="inlineStr">
        <is>
          <t>Tích hợp hệ thống định tuyến React Router DOM v6 vào App.jsx</t>
        </is>
      </c>
      <c r="E25" s="25" t="n"/>
      <c r="F25" s="25" t="n"/>
      <c r="G25" s="25" t="inlineStr">
        <is>
          <t>src/App.jsx</t>
        </is>
      </c>
      <c r="H25" s="25" t="n"/>
      <c r="I25" s="25" t="inlineStr">
        <is>
          <t>Định nghĩa toàn bộ route tree</t>
        </is>
      </c>
    </row>
    <row r="26" ht="18" customHeight="1">
      <c r="B26" s="25" t="n"/>
      <c r="C26" s="25" t="inlineStr">
        <is>
          <t>D</t>
        </is>
      </c>
      <c r="D26" s="25" t="inlineStr">
        <is>
          <t>Cập nhật Header.jsx dùng NavLink từ react-router-dom</t>
        </is>
      </c>
      <c r="E26" s="25" t="n"/>
      <c r="F26" s="25" t="n"/>
      <c r="G26" s="25" t="inlineStr">
        <is>
          <t>src/components/Header.jsx</t>
        </is>
      </c>
      <c r="H26" s="25" t="n"/>
      <c r="I26" s="25" t="inlineStr">
        <is>
          <t>Highlight menu đang chọn</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06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21/06/2026</t>
        </is>
      </c>
      <c r="C8" s="25" t="inlineStr">
        <is>
          <t>A</t>
        </is>
      </c>
      <c r="D8" s="25" t="inlineStr">
        <is>
          <t>ChatGPT-4o</t>
        </is>
      </c>
      <c r="E8" s="25" t="inlineStr">
        <is>
          <t>Thiết kế CartContext + Provider và custom hook useCart để xóa props drilling</t>
        </is>
      </c>
      <c r="F8" s="25" t="inlineStr">
        <is>
          <t>src/context/CartContext.jsx</t>
        </is>
      </c>
      <c r="G8" s="25" t="inlineStr">
        <is>
          <t>High</t>
        </is>
      </c>
      <c r="H8" s="25" t="inlineStr">
        <is>
          <t>Bọc value bằng useMemo, xử lý logic addToCart, updateQuantity immutable</t>
        </is>
      </c>
      <c r="I8" s="25" t="inlineStr">
        <is>
          <t>Header, DrinkCard, CartPage truy xuất giỏ hàng trực tiếp không qua trung gian</t>
        </is>
      </c>
    </row>
    <row r="9" ht="18" customHeight="1">
      <c r="B9" s="25" t="inlineStr">
        <is>
          <t>22/06/2026</t>
        </is>
      </c>
      <c r="C9" s="25" t="inlineStr">
        <is>
          <t>B</t>
        </is>
      </c>
      <c r="D9" s="25" t="inlineStr">
        <is>
          <t>Claude 3.5 Sonnet</t>
        </is>
      </c>
      <c r="E9" s="25" t="inlineStr">
        <is>
          <t>Xây dựng ThemeContext quản lý Dark/Light mode, lưu localStorage trong useEffect</t>
        </is>
      </c>
      <c r="F9" s="25" t="inlineStr">
        <is>
          <t>src/context/ThemeContext.jsx</t>
        </is>
      </c>
      <c r="G9" s="25" t="inlineStr">
        <is>
          <t>Medium</t>
        </is>
      </c>
      <c r="H9" s="25" t="inlineStr">
        <is>
          <t>Đảm bảo reload trang F5 giữ nguyên giao diện người dùng chọn</t>
        </is>
      </c>
      <c r="I9" s="25" t="inlineStr">
        <is>
          <t>Kiểm tra Application tab trong DevTools thấy theme persist tốt</t>
        </is>
      </c>
    </row>
    <row r="10" ht="18" customHeight="1">
      <c r="B10" s="25" t="inlineStr">
        <is>
          <t>23/06/2026</t>
        </is>
      </c>
      <c r="C10" s="25" t="inlineStr">
        <is>
          <t>C</t>
        </is>
      </c>
      <c r="D10" s="25" t="inlineStr">
        <is>
          <t>GitHub Copilot</t>
        </is>
      </c>
      <c r="E10" s="25" t="inlineStr">
        <is>
          <t>Tích hợp useEffect có cleanup function cho bộ đếm auto-refresh KDS</t>
        </is>
      </c>
      <c r="F10" s="25" t="inlineStr">
        <is>
          <t>src/pages/admin/OrderManagePage.jsx</t>
        </is>
      </c>
      <c r="G10" s="25" t="inlineStr">
        <is>
          <t>Medium</t>
        </is>
      </c>
      <c r="H10" s="25" t="inlineStr">
        <is>
          <t>Thêm return () =&gt; clearInterval(interval) khi component unmount</t>
        </is>
      </c>
      <c r="I10" s="25" t="inlineStr">
        <is>
          <t>Chuyển tab liên tục không bị lỗi memory leak hay double intervals</t>
        </is>
      </c>
    </row>
    <row r="11" ht="18" customHeight="1">
      <c r="B11" s="25" t="inlineStr">
        <is>
          <t>24/06/2026</t>
        </is>
      </c>
      <c r="C11" s="25" t="inlineStr">
        <is>
          <t>D</t>
        </is>
      </c>
      <c r="D11" s="25" t="inlineStr">
        <is>
          <t>ChatGPT-4o</t>
        </is>
      </c>
      <c r="E11" s="25" t="inlineStr">
        <is>
          <t>Sử dụng useRef trong SearchBar để tự động focus vào ô input khi mở trang</t>
        </is>
      </c>
      <c r="F11" s="25" t="inlineStr">
        <is>
          <t>src/components/SearchBar.jsx</t>
        </is>
      </c>
      <c r="G11" s="25" t="inlineStr">
        <is>
          <t>Low</t>
        </is>
      </c>
      <c r="H11" s="25" t="inlineStr">
        <is>
          <t>Gọi inputRef.current.focus() bên trong useEffect mount</t>
        </is>
      </c>
      <c r="I11" s="25" t="inlineStr">
        <is>
          <t>Mở trang Menu ô tìm kiếm tự động nhận con trỏ chuột ngay</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CartContext.jsx quản lý giỏ hàng toàn cục</t>
        </is>
      </c>
      <c r="E21" s="25" t="n"/>
      <c r="F21" s="25" t="n"/>
      <c r="G21" s="25" t="inlineStr">
        <is>
          <t>src/context/CartContext.jsx</t>
        </is>
      </c>
      <c r="H21" s="25" t="n"/>
      <c r="I21" s="25" t="inlineStr">
        <is>
          <t>Loại bỏ triệt để props drilling</t>
        </is>
      </c>
    </row>
    <row r="22" ht="18" customHeight="1">
      <c r="B22" s="25" t="n"/>
      <c r="C22" s="25" t="inlineStr">
        <is>
          <t>B</t>
        </is>
      </c>
      <c r="D22" s="25" t="inlineStr">
        <is>
          <t>Tạo ThemeContext.jsx quản lý chế độ Dark/Light mode</t>
        </is>
      </c>
      <c r="E22" s="25" t="n"/>
      <c r="F22" s="25" t="n"/>
      <c r="G22" s="25" t="inlineStr">
        <is>
          <t>src/context/ThemeContext.jsx</t>
        </is>
      </c>
      <c r="H22" s="25" t="n"/>
      <c r="I22" s="25" t="inlineStr">
        <is>
          <t>Lưu cache localStorage</t>
        </is>
      </c>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C</t>
        </is>
      </c>
      <c r="D25" s="25" t="inlineStr">
        <is>
          <t>Bổ sung cleanup function clearInterval vào useEffect tại OrderManagePage</t>
        </is>
      </c>
      <c r="E25" s="25" t="n"/>
      <c r="F25" s="25" t="n"/>
      <c r="G25" s="25" t="inlineStr">
        <is>
          <t>src/pages/admin/OrderManagePage.jsx</t>
        </is>
      </c>
      <c r="H25" s="25" t="n"/>
      <c r="I25" s="25" t="inlineStr">
        <is>
          <t>Ngăn ngừa rò rỉ bộ nhớ</t>
        </is>
      </c>
    </row>
    <row r="26" ht="18" customHeight="1">
      <c r="B26" s="25" t="n"/>
      <c r="C26" s="25" t="inlineStr">
        <is>
          <t>D</t>
        </is>
      </c>
      <c r="D26" s="25" t="inlineStr">
        <is>
          <t>Cập nhật SearchBar.jsx sử dụng useRef tự động focus</t>
        </is>
      </c>
      <c r="E26" s="25" t="n"/>
      <c r="F26" s="25" t="n"/>
      <c r="G26" s="25" t="inlineStr">
        <is>
          <t>src/components/SearchBar.jsx</t>
        </is>
      </c>
      <c r="H26" s="25" t="n"/>
      <c r="I26" s="25" t="inlineStr">
        <is>
          <t>Tối ưu trải nghiệm thao tác</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07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28/06/2026</t>
        </is>
      </c>
      <c r="C8" s="25" t="inlineStr">
        <is>
          <t>A</t>
        </is>
      </c>
      <c r="D8" s="25" t="inlineStr">
        <is>
          <t>ChatGPT-4o</t>
        </is>
      </c>
      <c r="E8" s="25" t="inlineStr">
        <is>
          <t>Cấu hình axios instance và interceptors log lỗi tập trung trong drinkService.js</t>
        </is>
      </c>
      <c r="F8" s="25" t="inlineStr">
        <is>
          <t>src/services/drinkService.js</t>
        </is>
      </c>
      <c r="G8" s="25" t="inlineStr">
        <is>
          <t>High</t>
        </is>
      </c>
      <c r="H8" s="25" t="inlineStr">
        <is>
          <t>Thiết lập baseURL localhost:3001, xử lý trích xuất error.response.data</t>
        </is>
      </c>
      <c r="I8" s="25" t="inlineStr">
        <is>
          <t>Gọi API gọn gàng, lỗi tự động catch và hiển thị cảnh báo đỏ</t>
        </is>
      </c>
    </row>
    <row r="9" ht="18" customHeight="1">
      <c r="B9" s="25" t="inlineStr">
        <is>
          <t>29/06/2026</t>
        </is>
      </c>
      <c r="C9" s="25" t="inlineStr">
        <is>
          <t>D</t>
        </is>
      </c>
      <c r="D9" s="25" t="inlineStr">
        <is>
          <t>Claude 3.5 Sonnet</t>
        </is>
      </c>
      <c r="E9" s="25" t="inlineStr">
        <is>
          <t>Phát hiện và chuẩn hóa cú pháp sắp xếp _sort: "-createdAt" cho json-server v1+</t>
        </is>
      </c>
      <c r="F9" s="25" t="inlineStr">
        <is>
          <t>src/services/orderService.js</t>
        </is>
      </c>
      <c r="G9" s="25" t="inlineStr">
        <is>
          <t>High</t>
        </is>
      </c>
      <c r="H9" s="25" t="inlineStr">
        <is>
          <t>Sửa lỗi cú pháp cũ _sort=createdAt&amp;_order=desc trả về mảng rỗng [] trên v1+</t>
        </is>
      </c>
      <c r="I9" s="25" t="inlineStr">
        <is>
          <t>Danh sách đơn hàng KDS hiển thị đầy đủ, đơn mới nhất lên đầu</t>
        </is>
      </c>
    </row>
    <row r="10" ht="18" customHeight="1">
      <c r="B10" s="25" t="inlineStr">
        <is>
          <t>30/06/2026</t>
        </is>
      </c>
      <c r="C10" s="25" t="inlineStr">
        <is>
          <t>B</t>
        </is>
      </c>
      <c r="D10" s="25" t="inlineStr">
        <is>
          <t>GitHub Copilot</t>
        </is>
      </c>
      <c r="E10" s="25" t="inlineStr">
        <is>
          <t>Cập nhật MenuPage xử lý đầy đủ 3 trạng thái Loading Spinner, Error Alert, Data</t>
        </is>
      </c>
      <c r="F10" s="25" t="inlineStr">
        <is>
          <t>src/pages/MenuPage.jsx</t>
        </is>
      </c>
      <c r="G10" s="25" t="inlineStr">
        <is>
          <t>Medium</t>
        </is>
      </c>
      <c r="H10" s="25" t="inlineStr">
        <is>
          <t>Thêm nút Thử lại (retry) khi gọi API thất bại</t>
        </is>
      </c>
      <c r="I10" s="25" t="inlineStr">
        <is>
          <t>Tắt server json-server thử nghiệm hiển thị đúng thông báo lỗi</t>
        </is>
      </c>
    </row>
    <row r="11" ht="18" customHeight="1">
      <c r="B11" s="25" t="inlineStr">
        <is>
          <t>01/07/2026</t>
        </is>
      </c>
      <c r="C11" s="25" t="inlineStr">
        <is>
          <t>C</t>
        </is>
      </c>
      <c r="D11" s="25" t="inlineStr">
        <is>
          <t>ChatGPT-4o</t>
        </is>
      </c>
      <c r="E11" s="25" t="inlineStr">
        <is>
          <t>Xây dựng trang CRUD Admin Quản lý Đồ uống (DrinkManagePage) với Modal form</t>
        </is>
      </c>
      <c r="F11" s="25" t="inlineStr">
        <is>
          <t>src/pages/admin/DrinkManagePage.jsx</t>
        </is>
      </c>
      <c r="G11" s="25" t="inlineStr">
        <is>
          <t>High</t>
        </is>
      </c>
      <c r="H11" s="25" t="inlineStr">
        <is>
          <t>Tích hợp Thêm, Sửa, Xóa kèm confirm dialog xác nhận an toàn</t>
        </is>
      </c>
      <c r="I11" s="25" t="inlineStr">
        <is>
          <t>Kiểm tra db.json cập nhật tức thì khi thêm hoặc xóa món</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tầng Service: drinkService.js và orderService.js</t>
        </is>
      </c>
      <c r="E21" s="25" t="n"/>
      <c r="F21" s="25" t="n"/>
      <c r="G21" s="25" t="inlineStr">
        <is>
          <t>src/services/drinkService.js</t>
        </is>
      </c>
      <c r="H21" s="25" t="n"/>
      <c r="I21" s="25" t="inlineStr">
        <is>
          <t>Tập trung logic gọi API Axios</t>
        </is>
      </c>
    </row>
    <row r="22" ht="18" customHeight="1">
      <c r="B22" s="25" t="n"/>
      <c r="C22" s="25" t="inlineStr">
        <is>
          <t>C</t>
        </is>
      </c>
      <c r="D22" s="25" t="inlineStr">
        <is>
          <t>Tạo trang quản trị DrinkManagePage.jsx (CRUD đồ uống)</t>
        </is>
      </c>
      <c r="E22" s="25" t="n"/>
      <c r="F22" s="25" t="n"/>
      <c r="G22" s="25" t="inlineStr">
        <is>
          <t>src/pages/admin/DrinkManagePage.jsx</t>
        </is>
      </c>
      <c r="H22" s="25" t="n"/>
      <c r="I22" s="25" t="inlineStr">
        <is>
          <t>Hỗ trợ Admin thêm/sửa/xóa món</t>
        </is>
      </c>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D</t>
        </is>
      </c>
      <c r="D25" s="25" t="inlineStr">
        <is>
          <t>Chuẩn hóa cú pháp _sort: "-createdAt" trong orderService.js</t>
        </is>
      </c>
      <c r="E25" s="25" t="n"/>
      <c r="F25" s="25" t="n"/>
      <c r="G25" s="25" t="inlineStr">
        <is>
          <t>src/services/orderService.js</t>
        </is>
      </c>
      <c r="H25" s="25" t="n"/>
      <c r="I25" s="25" t="inlineStr">
        <is>
          <t>Tương thích json-server v1.0.0+</t>
        </is>
      </c>
    </row>
    <row r="26" ht="18" customHeight="1">
      <c r="B26" s="25" t="n"/>
      <c r="C26" s="25" t="inlineStr">
        <is>
          <t>B</t>
        </is>
      </c>
      <c r="D26" s="25" t="inlineStr">
        <is>
          <t>Refactor MenuPage.jsx quản lý 3 trạng thái Loading / Error / Data</t>
        </is>
      </c>
      <c r="E26" s="25" t="n"/>
      <c r="F26" s="25" t="n"/>
      <c r="G26" s="25" t="inlineStr">
        <is>
          <t>src/pages/MenuPage.jsx</t>
        </is>
      </c>
      <c r="H26" s="25" t="n"/>
      <c r="I26" s="25" t="inlineStr">
        <is>
          <t>Hiển thị Spinner và Alert lỗi</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08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05/07/2026</t>
        </is>
      </c>
      <c r="C8" s="25" t="inlineStr">
        <is>
          <t>A</t>
        </is>
      </c>
      <c r="D8" s="25" t="inlineStr">
        <is>
          <t>ChatGPT-4o</t>
        </is>
      </c>
      <c r="E8" s="25" t="inlineStr">
        <is>
          <t>Xây dựng custom hook useFetch(url, params) đóng gói logic loading/error/refetch</t>
        </is>
      </c>
      <c r="F8" s="25" t="inlineStr">
        <is>
          <t>src/hooks/useFetch.js</t>
        </is>
      </c>
      <c r="G8" s="25" t="inlineStr">
        <is>
          <t>High</t>
        </is>
      </c>
      <c r="H8" s="25" t="inlineStr">
        <is>
          <t>Sử dụng JSON.stringify(params) để tránh infinite loop trong dependency array</t>
        </is>
      </c>
      <c r="I8" s="25" t="inlineStr">
        <is>
          <t>Tái sử dụng thành công trên 4 trang khác nhau chỉ với 1 dòng code</t>
        </is>
      </c>
    </row>
    <row r="9" ht="18" customHeight="1">
      <c r="B9" s="25" t="inlineStr">
        <is>
          <t>06/07/2026</t>
        </is>
      </c>
      <c r="C9" s="25" t="inlineStr">
        <is>
          <t>B</t>
        </is>
      </c>
      <c r="D9" s="25" t="inlineStr">
        <is>
          <t>Claude 3.5 Sonnet</t>
        </is>
      </c>
      <c r="E9" s="25" t="inlineStr">
        <is>
          <t>Xây dựng custom hook useDebounce(value, delay=300ms) tối ưu ô tìm kiếm</t>
        </is>
      </c>
      <c r="F9" s="25" t="inlineStr">
        <is>
          <t>src/hooks/useDebounce.js</t>
        </is>
      </c>
      <c r="G9" s="25" t="inlineStr">
        <is>
          <t>High</t>
        </is>
      </c>
      <c r="H9" s="25" t="inlineStr">
        <is>
          <t>Trì hoãn cập nhật từ khóa cho đến khi khách ngừng gõ 300ms</t>
        </is>
      </c>
      <c r="I9" s="25" t="inlineStr">
        <is>
          <t>Giảm 90% lượng render và request thừa khi gõ nhanh trong Network tab</t>
        </is>
      </c>
    </row>
    <row r="10" ht="18" customHeight="1">
      <c r="B10" s="25" t="inlineStr">
        <is>
          <t>07/07/2026</t>
        </is>
      </c>
      <c r="C10" s="25" t="inlineStr">
        <is>
          <t>C</t>
        </is>
      </c>
      <c r="D10" s="25" t="inlineStr">
        <is>
          <t>GitHub Copilot</t>
        </is>
      </c>
      <c r="E10" s="25" t="inlineStr">
        <is>
          <t>Xây dựng custom hook useLocalStorage(key, initialValue) đồng bộ state vào storage</t>
        </is>
      </c>
      <c r="F10" s="25" t="inlineStr">
        <is>
          <t>src/hooks/useLocalStorage.js</t>
        </is>
      </c>
      <c r="G10" s="25" t="inlineStr">
        <is>
          <t>Medium</t>
        </is>
      </c>
      <c r="H10" s="25" t="inlineStr">
        <is>
          <t>Bọc JSON.parse trong try/catch phòng trường hợp cache bị lỗi định dạng</t>
        </is>
      </c>
      <c r="I10" s="25" t="inlineStr">
        <is>
          <t>Giỏ hàng và wishlist giữ nguyên sau khi reload trình duyệt F5</t>
        </is>
      </c>
    </row>
    <row r="11" ht="18" customHeight="1">
      <c r="B11" s="25" t="inlineStr">
        <is>
          <t>08/07/2026</t>
        </is>
      </c>
      <c r="C11" s="25" t="inlineStr">
        <is>
          <t>D</t>
        </is>
      </c>
      <c r="D11" s="25" t="inlineStr">
        <is>
          <t>ChatGPT-4o</t>
        </is>
      </c>
      <c r="E11" s="25" t="inlineStr">
        <is>
          <t>Refactor MenuPage.jsx và DrinkListPage.jsx sử dụng useFetch và useDebounce</t>
        </is>
      </c>
      <c r="F11" s="25" t="inlineStr">
        <is>
          <t>src/pages/MenuPage.jsx</t>
        </is>
      </c>
      <c r="G11" s="25" t="inlineStr">
        <is>
          <t>High</t>
        </is>
      </c>
      <c r="H11" s="25" t="inlineStr">
        <is>
          <t>Xóa bỏ 75 dòng code boilerplate (useEffect/try-catch) trong component UI</t>
        </is>
      </c>
      <c r="I11" s="25" t="inlineStr">
        <is>
          <t>Kiểm chứng code ngắn gọn hơn 62%, dễ bảo trì và mở rộng</t>
        </is>
      </c>
    </row>
    <row r="12" ht="18" customHeight="1">
      <c r="B12" s="25" t="n"/>
      <c r="C12" s="25" t="n"/>
      <c r="D12" s="25" t="n"/>
      <c r="E12" s="25" t="n"/>
      <c r="F12" s="25" t="n"/>
      <c r="G12" s="25" t="n"/>
      <c r="H12" s="25" t="n"/>
      <c r="I12" s="25" t="n"/>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bộ Custom Hooks: useFetch.js, useDebounce.js, useLocalStorage.js</t>
        </is>
      </c>
      <c r="E21" s="25" t="n"/>
      <c r="F21" s="25" t="n"/>
      <c r="G21" s="25" t="inlineStr">
        <is>
          <t>src/hooks/useFetch.js</t>
        </is>
      </c>
      <c r="H21" s="25" t="n"/>
      <c r="I21" s="25" t="inlineStr">
        <is>
          <t>Chuẩn hóa logic tái sử dụng DRY</t>
        </is>
      </c>
    </row>
    <row r="22" ht="18" customHeight="1">
      <c r="B22" s="25" t="n"/>
      <c r="C22" s="25" t="n"/>
      <c r="D22" s="25" t="n"/>
      <c r="E22" s="25" t="n"/>
      <c r="F22" s="25" t="n"/>
      <c r="G22" s="25" t="n"/>
      <c r="H22" s="25" t="n"/>
      <c r="I22" s="25" t="n"/>
    </row>
    <row r="23" ht="18" customHeight="1">
      <c r="B23" s="25" t="n"/>
      <c r="C23" s="25" t="n"/>
      <c r="D23" s="25" t="n"/>
      <c r="E23" s="25" t="n"/>
      <c r="F23" s="25" t="n"/>
      <c r="G23" s="25" t="n"/>
      <c r="H23" s="25" t="n"/>
      <c r="I23" s="25" t="n"/>
    </row>
    <row r="24" ht="15.75" customHeight="1">
      <c r="B24" s="2" t="inlineStr">
        <is>
          <t>Changed — Cải tiến</t>
        </is>
      </c>
      <c r="C24" s="34" t="n"/>
      <c r="D24" s="34" t="n"/>
      <c r="E24" s="34" t="n"/>
      <c r="F24" s="34" t="n"/>
      <c r="G24" s="34" t="n"/>
      <c r="H24" s="34" t="n"/>
      <c r="I24" s="33" t="n"/>
    </row>
    <row r="25" ht="18" customHeight="1">
      <c r="B25" s="25" t="n"/>
      <c r="C25" s="25" t="inlineStr">
        <is>
          <t>D</t>
        </is>
      </c>
      <c r="D25" s="25" t="inlineStr">
        <is>
          <t>Refactor MenuPage.jsx ứng dụng useFetch và useDebounce</t>
        </is>
      </c>
      <c r="E25" s="25" t="n"/>
      <c r="F25" s="25" t="n"/>
      <c r="G25" s="25" t="inlineStr">
        <is>
          <t>src/pages/MenuPage.jsx</t>
        </is>
      </c>
      <c r="H25" s="25" t="n"/>
      <c r="I25" s="25" t="inlineStr">
        <is>
          <t>Giảm 62% dòng code boilerplate</t>
        </is>
      </c>
    </row>
    <row r="26" ht="18" customHeight="1">
      <c r="B26" s="25" t="n"/>
      <c r="C26" s="25" t="inlineStr">
        <is>
          <t>C</t>
        </is>
      </c>
      <c r="D26" s="25" t="inlineStr">
        <is>
          <t>Đồng bộ hóa CartContext với useLocalStorage</t>
        </is>
      </c>
      <c r="E26" s="25" t="n"/>
      <c r="F26" s="25" t="n"/>
      <c r="G26" s="25" t="inlineStr">
        <is>
          <t>src/context/CartContext.jsx</t>
        </is>
      </c>
      <c r="H26" s="25" t="n"/>
      <c r="I26" s="25" t="inlineStr">
        <is>
          <t>Bảo toàn giỏ hàng qua các phiên làm việc</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inlineStr">
        <is>
          <t>D</t>
        </is>
      </c>
      <c r="D33" s="25" t="inlineStr">
        <is>
          <t>Xóa bỏ code gọi API thủ công và state boilerplate bị lặp lại ở các trang</t>
        </is>
      </c>
      <c r="E33" s="25" t="n"/>
      <c r="F33" s="25" t="n"/>
      <c r="G33" s="25" t="inlineStr">
        <is>
          <t>src/pages/</t>
        </is>
      </c>
      <c r="H33" s="25" t="n"/>
      <c r="I33" s="25" t="inlineStr">
        <is>
          <t>Làm sạch cấu trúc UI component</t>
        </is>
      </c>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09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6328125" defaultRowHeight="14.5"/>
  <cols>
    <col width="3" customWidth="1" min="1" max="1"/>
    <col width="12" customWidth="1" min="2" max="2"/>
    <col width="6" customWidth="1" min="3" max="3"/>
    <col width="12.7265625" customWidth="1" min="4" max="4"/>
    <col width="32" customWidth="1" min="5" max="5"/>
    <col width="20" customWidth="1" min="6" max="6"/>
    <col width="12" customWidth="1" min="7" max="7"/>
    <col width="28" customWidth="1" min="8" max="8"/>
    <col width="22" customWidth="1" min="9" max="9"/>
  </cols>
  <sheetData>
    <row r="1" ht="13.5" customHeight="1"/>
    <row r="2" ht="33.75" customHeight="1">
      <c r="B2" s="6" t="inlineStr">
        <is>
          <t>WEEK 01 — Nhật ký AI &amp; Project</t>
        </is>
      </c>
      <c r="C2" s="34" t="n"/>
      <c r="D2" s="34" t="n"/>
      <c r="E2" s="34" t="n"/>
      <c r="F2" s="34" t="n"/>
      <c r="G2" s="34" t="n"/>
      <c r="H2" s="34" t="n"/>
      <c r="I2" s="33" t="n"/>
    </row>
    <row r="3" ht="15.75" customHeight="1">
      <c r="B3" s="5" t="inlineStr">
        <is>
          <t>Mỗi thành viên dùng ký hiệu A/B/C/D/E ở cột TV.  Cột (*) bắt buộc điền.  Lưu file sau khi điền xong.</t>
        </is>
      </c>
    </row>
    <row r="5" ht="21.75" customHeight="1">
      <c r="B5" s="11" t="inlineStr">
        <is>
          <t>📋  BẢNG 1: Nhật ký sử dụng AI  (AI_AUDIT_LOG)</t>
        </is>
      </c>
      <c r="C5" s="34" t="n"/>
      <c r="D5" s="34" t="n"/>
      <c r="E5" s="34" t="n"/>
      <c r="F5" s="34" t="n"/>
      <c r="G5" s="34" t="n"/>
      <c r="H5" s="34" t="n"/>
      <c r="I5" s="33" t="n"/>
    </row>
    <row r="6" ht="13.5" customHeight="1">
      <c r="B6" s="4" t="inlineStr">
        <is>
          <t>Ghi mỗi lần dùng AI vào 1 dòng.  Mức hỗ trợ: Low = AI gợi ý nhỏ  |  Medium = AI đóng góp nhiều  |  High = AI tạo phần lớn</t>
        </is>
      </c>
    </row>
    <row r="7" ht="19.5" customHeight="1">
      <c r="B7" s="17" t="inlineStr">
        <is>
          <t>Ngày (*)</t>
        </is>
      </c>
      <c r="C7" s="17" t="inlineStr">
        <is>
          <t>TV (*)</t>
        </is>
      </c>
      <c r="D7" s="17" t="inlineStr">
        <is>
          <t>Công cụ AI (*)</t>
        </is>
      </c>
      <c r="E7" s="17" t="inlineStr">
        <is>
          <t>Mục đích sử dụng (*)</t>
        </is>
      </c>
      <c r="F7" s="17" t="inlineStr">
        <is>
          <t>File ảnh hưởng</t>
        </is>
      </c>
      <c r="G7" s="17" t="inlineStr">
        <is>
          <t>Mức hỗ trợ (*)</t>
        </is>
      </c>
      <c r="H7" s="17" t="inlineStr">
        <is>
          <t>Đã chỉnh sửa gì?</t>
        </is>
      </c>
      <c r="I7" s="17" t="inlineStr">
        <is>
          <t>Kiểm chứng</t>
        </is>
      </c>
    </row>
    <row r="8" ht="18" customHeight="1">
      <c r="B8" s="25" t="inlineStr">
        <is>
          <t>12/07/2026</t>
        </is>
      </c>
      <c r="C8" s="25" t="inlineStr">
        <is>
          <t>A</t>
        </is>
      </c>
      <c r="D8" s="25" t="inlineStr">
        <is>
          <t>ChatGPT-4o</t>
        </is>
      </c>
      <c r="E8" s="25" t="inlineStr">
        <is>
          <t>Setup Redux Toolkit store + cartSlice với cơ chế Immer tự động immutable</t>
        </is>
      </c>
      <c r="F8" s="25" t="inlineStr">
        <is>
          <t>src/store/cartSlice.js</t>
        </is>
      </c>
      <c r="G8" s="25" t="inlineStr">
        <is>
          <t>High</t>
        </is>
      </c>
      <c r="H8" s="25" t="inlineStr">
        <is>
          <t>Sử dụng createSlice, cấu hình addToCart với logic existing.quantity += 1 an toàn</t>
        </is>
      </c>
      <c r="I8" s="25" t="inlineStr">
        <is>
          <t>Kiểm tra Redux DevTools hiển thị Action Log và time-travel chuẩn</t>
        </is>
      </c>
    </row>
    <row r="9" ht="18" customHeight="1">
      <c r="B9" s="25" t="inlineStr">
        <is>
          <t>13/07/2026</t>
        </is>
      </c>
      <c r="C9" s="25" t="inlineStr">
        <is>
          <t>B</t>
        </is>
      </c>
      <c r="D9" s="25" t="inlineStr">
        <is>
          <t>Claude 3.5 Sonnet</t>
        </is>
      </c>
      <c r="E9" s="25" t="inlineStr">
        <is>
          <t>Triển khai React.lazy + Suspense cho các trang lớn và prefetch khi hover link</t>
        </is>
      </c>
      <c r="F9" s="25" t="inlineStr">
        <is>
          <t>src/App.jsx</t>
        </is>
      </c>
      <c r="G9" s="25" t="inlineStr">
        <is>
          <t>High</t>
        </is>
      </c>
      <c r="H9" s="25" t="inlineStr">
        <is>
          <t>Bọc Routes trong Suspense fallback, tự động load chunk khi hover NavLink</t>
        </is>
      </c>
      <c r="I9" s="25" t="inlineStr">
        <is>
          <t>Kiểm tra Network tab chứng minh JS chunk tải bất đồng bộ theo route</t>
        </is>
      </c>
    </row>
    <row r="10" ht="18" customHeight="1">
      <c r="B10" s="25" t="inlineStr">
        <is>
          <t>14/07/2026</t>
        </is>
      </c>
      <c r="C10" s="25" t="inlineStr">
        <is>
          <t>D</t>
        </is>
      </c>
      <c r="D10" s="25" t="inlineStr">
        <is>
          <t>ChatGPT-4o</t>
        </is>
      </c>
      <c r="E10" s="25" t="inlineStr">
        <is>
          <t>Nâng cấp Trạm POS Barista KDS v3.2: Thanh báo động đơn pending + nút Duyệt Tất Cả</t>
        </is>
      </c>
      <c r="F10" s="25" t="inlineStr">
        <is>
          <t>src/pages/admin/OrderManagePage.jsx</t>
        </is>
      </c>
      <c r="G10" s="25" t="inlineStr">
        <is>
          <t>High</t>
        </is>
      </c>
      <c r="H10" s="25" t="inlineStr">
        <is>
          <t>Tạo Alert Banner vàng rực kèm nút phê duyệt hàng loạt chuyển đơn sang preparing</t>
        </is>
      </c>
      <c r="I10" s="25" t="inlineStr">
        <is>
          <t>Barista không bao giờ bị bỏ lỡ đơn mới khi ở tab KDS pha chế</t>
        </is>
      </c>
    </row>
    <row r="11" ht="18" customHeight="1">
      <c r="B11" s="25" t="inlineStr">
        <is>
          <t>15/07/2026</t>
        </is>
      </c>
      <c r="C11" s="25" t="inlineStr">
        <is>
          <t>C</t>
        </is>
      </c>
      <c r="D11" s="25" t="inlineStr">
        <is>
          <t>GitHub Copilot</t>
        </is>
      </c>
      <c r="E11" s="25" t="inlineStr">
        <is>
          <t>Bổ sung logic Validate 9 số điện thoại Takeaway trong CheckoutModal.jsx</t>
        </is>
      </c>
      <c r="F11" s="25" t="inlineStr">
        <is>
          <t>src/components/CheckoutModal.jsx</t>
        </is>
      </c>
      <c r="G11" s="25" t="inlineStr">
        <is>
          <t>Medium</t>
        </is>
      </c>
      <c r="H11" s="25" t="inlineStr">
        <is>
          <t>Dùng regex /^\d{9}$/, khóa nút Tiếp tục disabled nếu nhập sai định dạng</t>
        </is>
      </c>
      <c r="I11" s="25" t="inlineStr">
        <is>
          <t>Người dùng bắt buộc nhập đúng 9 chữ số mới được đặt đơn mang về</t>
        </is>
      </c>
    </row>
    <row r="12" ht="18" customHeight="1">
      <c r="B12" s="25" t="inlineStr">
        <is>
          <t>16/07/2026</t>
        </is>
      </c>
      <c r="C12" s="25" t="inlineStr">
        <is>
          <t>E</t>
        </is>
      </c>
      <c r="D12" s="25" t="inlineStr">
        <is>
          <t>Claude 3.5 Sonnet</t>
        </is>
      </c>
      <c r="E12" s="25" t="inlineStr">
        <is>
          <t>Cấu hình vercel.json rewrites, build production (vite build) và viết slide demo</t>
        </is>
      </c>
      <c r="F12" s="25" t="inlineStr">
        <is>
          <t>vercel.json</t>
        </is>
      </c>
      <c r="G12" s="25" t="inlineStr">
        <is>
          <t>Low</t>
        </is>
      </c>
      <c r="H12" s="25" t="inlineStr">
        <is>
          <t>Kiểm tra bản build dist/ không lỗi, test trên preview mượt mà</t>
        </is>
      </c>
      <c r="I12" s="25" t="inlineStr">
        <is>
          <t>Sẵn sàng bảo vệ đồ án kết thúc môn học thành công rực rỡ</t>
        </is>
      </c>
    </row>
    <row r="13" ht="18" customHeight="1">
      <c r="B13" s="25" t="n"/>
      <c r="C13" s="25" t="n"/>
      <c r="D13" s="25" t="n"/>
      <c r="E13" s="25" t="n"/>
      <c r="F13" s="25" t="n"/>
      <c r="G13" s="25" t="n"/>
      <c r="H13" s="25" t="n"/>
      <c r="I13" s="25" t="n"/>
    </row>
    <row r="14" ht="18" customHeight="1">
      <c r="B14" s="25" t="n"/>
      <c r="C14" s="25" t="n"/>
      <c r="D14" s="25" t="n"/>
      <c r="E14" s="25" t="n"/>
      <c r="F14" s="25" t="n"/>
      <c r="G14" s="25" t="n"/>
      <c r="H14" s="25" t="n"/>
      <c r="I14" s="25" t="n"/>
    </row>
    <row r="15" ht="18" customHeight="1">
      <c r="B15" s="25" t="n"/>
      <c r="C15" s="25" t="n"/>
      <c r="D15" s="25" t="n"/>
      <c r="E15" s="25" t="n"/>
      <c r="F15" s="25" t="n"/>
      <c r="G15" s="25" t="n"/>
      <c r="H15" s="25" t="n"/>
      <c r="I15" s="25" t="n"/>
    </row>
    <row r="17" ht="21.75" customHeight="1">
      <c r="B17" s="9" t="inlineStr">
        <is>
          <t>📝  BẢNG 2: Nhật ký thay đổi project  (CHANGELOG)</t>
        </is>
      </c>
      <c r="C17" s="34" t="n"/>
      <c r="D17" s="34" t="n"/>
      <c r="E17" s="34" t="n"/>
      <c r="F17" s="34" t="n"/>
      <c r="G17" s="34" t="n"/>
      <c r="H17" s="34" t="n"/>
      <c r="I17" s="33" t="n"/>
    </row>
    <row r="18" ht="13.5" customHeight="1">
      <c r="B18" s="4" t="inlineStr">
        <is>
          <t>Added = thêm mới  |  Changed = cải tiến  |  Fixed = sửa lỗi  |  Removed = xóa bỏ</t>
        </is>
      </c>
    </row>
    <row r="19" ht="19.5" customHeight="1">
      <c r="B19" s="21" t="inlineStr">
        <is>
          <t>Loại (*)</t>
        </is>
      </c>
      <c r="C19" s="21" t="inlineStr">
        <is>
          <t>TV (*)</t>
        </is>
      </c>
      <c r="D19" s="21" t="inlineStr">
        <is>
          <t>Mô tả thay đổi (*)</t>
        </is>
      </c>
      <c r="E19" s="34" t="n"/>
      <c r="F19" s="33" t="n"/>
      <c r="G19" s="21" t="inlineStr">
        <is>
          <t>File liên quan</t>
        </is>
      </c>
      <c r="H19" s="33" t="n"/>
      <c r="I19" s="21" t="inlineStr">
        <is>
          <t>Ghi chú</t>
        </is>
      </c>
    </row>
    <row r="20" ht="15.75" customHeight="1">
      <c r="B20" s="2" t="inlineStr">
        <is>
          <t>Added — Thêm mới</t>
        </is>
      </c>
      <c r="C20" s="34" t="n"/>
      <c r="D20" s="34" t="n"/>
      <c r="E20" s="34" t="n"/>
      <c r="F20" s="34" t="n"/>
      <c r="G20" s="34" t="n"/>
      <c r="H20" s="34" t="n"/>
      <c r="I20" s="33" t="n"/>
    </row>
    <row r="21" ht="18" customHeight="1">
      <c r="B21" s="25" t="n"/>
      <c r="C21" s="25" t="inlineStr">
        <is>
          <t>A</t>
        </is>
      </c>
      <c r="D21" s="25" t="inlineStr">
        <is>
          <t>Tạo Redux Toolkit store và cartSlice.js (chế độ nâng cao)</t>
        </is>
      </c>
      <c r="E21" s="25" t="n"/>
      <c r="F21" s="25" t="n"/>
      <c r="G21" s="25" t="inlineStr">
        <is>
          <t>src/store/cartSlice.js</t>
        </is>
      </c>
      <c r="H21" s="25" t="n"/>
      <c r="I21" s="25" t="inlineStr">
        <is>
          <t>Ứng dụng Immer immutable tuyệt đối</t>
        </is>
      </c>
    </row>
    <row r="22" ht="18" customHeight="1">
      <c r="B22" s="25" t="n"/>
      <c r="C22" s="25" t="inlineStr">
        <is>
          <t>D</t>
        </is>
      </c>
      <c r="D22" s="25" t="inlineStr">
        <is>
          <t>Thêm Thanh báo động KDS Barista và nút Duyệt Siêu Tốc</t>
        </is>
      </c>
      <c r="E22" s="25" t="n"/>
      <c r="F22" s="25" t="n"/>
      <c r="G22" s="25" t="inlineStr">
        <is>
          <t>src/pages/admin/OrderManagePage.jsx</t>
        </is>
      </c>
      <c r="H22" s="25" t="n"/>
      <c r="I22" s="25" t="inlineStr">
        <is>
          <t>Chuẩn nghiệp vụ F&amp;B POS v3.2</t>
        </is>
      </c>
    </row>
    <row r="23" ht="18" customHeight="1">
      <c r="B23" s="25" t="n"/>
      <c r="C23" s="25" t="inlineStr">
        <is>
          <t>C</t>
        </is>
      </c>
      <c r="D23" s="25" t="inlineStr">
        <is>
          <t>Thêm Validate 9 số điện thoại đơn Takeaway tại CheckoutModal</t>
        </is>
      </c>
      <c r="E23" s="25" t="n"/>
      <c r="F23" s="25" t="n"/>
      <c r="G23" s="25" t="inlineStr">
        <is>
          <t>src/components/CheckoutModal.jsx</t>
        </is>
      </c>
      <c r="H23" s="25" t="n"/>
      <c r="I23" s="25" t="inlineStr">
        <is>
          <t>Kiểm soát dữ liệu đầu vào chính xác</t>
        </is>
      </c>
    </row>
    <row r="24" ht="15.75" customHeight="1">
      <c r="B24" s="2" t="inlineStr">
        <is>
          <t>Changed — Cải tiến</t>
        </is>
      </c>
      <c r="C24" s="34" t="n"/>
      <c r="D24" s="34" t="n"/>
      <c r="E24" s="34" t="n"/>
      <c r="F24" s="34" t="n"/>
      <c r="G24" s="34" t="n"/>
      <c r="H24" s="34" t="n"/>
      <c r="I24" s="33" t="n"/>
    </row>
    <row r="25" ht="18" customHeight="1">
      <c r="B25" s="25" t="n"/>
      <c r="C25" s="25" t="inlineStr">
        <is>
          <t>B</t>
        </is>
      </c>
      <c r="D25" s="25" t="inlineStr">
        <is>
          <t>Tối ưu hóa hiệu năng ứng dụng với React.lazy và Suspense</t>
        </is>
      </c>
      <c r="E25" s="25" t="n"/>
      <c r="F25" s="25" t="n"/>
      <c r="G25" s="25" t="inlineStr">
        <is>
          <t>src/App.jsx</t>
        </is>
      </c>
      <c r="H25" s="25" t="n"/>
      <c r="I25" s="25" t="inlineStr">
        <is>
          <t>Giảm kích thước bundle tải trang đầu</t>
        </is>
      </c>
    </row>
    <row r="26" ht="18" customHeight="1">
      <c r="B26" s="25" t="n"/>
      <c r="C26" s="25" t="inlineStr">
        <is>
          <t>E</t>
        </is>
      </c>
      <c r="D26" s="25" t="inlineStr">
        <is>
          <t>Cập nhật cấu hình build và vercel.json phục vụ deploy production</t>
        </is>
      </c>
      <c r="E26" s="25" t="n"/>
      <c r="F26" s="25" t="n"/>
      <c r="G26" s="25" t="inlineStr">
        <is>
          <t>vercel.json</t>
        </is>
      </c>
      <c r="H26" s="25" t="n"/>
      <c r="I26" s="25" t="inlineStr">
        <is>
          <t>Ngăn lỗi 404 khi refresh trang</t>
        </is>
      </c>
    </row>
    <row r="27" ht="18" customHeight="1">
      <c r="B27" s="25" t="n"/>
      <c r="C27" s="25" t="n"/>
      <c r="D27" s="25" t="n"/>
      <c r="E27" s="25" t="n"/>
      <c r="F27" s="25" t="n"/>
      <c r="G27" s="25" t="n"/>
      <c r="H27" s="25" t="n"/>
      <c r="I27" s="25" t="n"/>
    </row>
    <row r="28" ht="15.75" customHeight="1">
      <c r="B28" s="2" t="inlineStr">
        <is>
          <t>Fixed — Sửa lỗi</t>
        </is>
      </c>
      <c r="C28" s="34" t="n"/>
      <c r="D28" s="34" t="n"/>
      <c r="E28" s="34" t="n"/>
      <c r="F28" s="34" t="n"/>
      <c r="G28" s="34" t="n"/>
      <c r="H28" s="34" t="n"/>
      <c r="I28" s="33" t="n"/>
    </row>
    <row r="29" ht="18" customHeight="1">
      <c r="B29" s="25" t="n"/>
      <c r="C29" s="25" t="n"/>
      <c r="D29" s="25" t="n"/>
      <c r="E29" s="25" t="n"/>
      <c r="F29" s="25" t="n"/>
      <c r="G29" s="25" t="n"/>
      <c r="H29" s="25" t="n"/>
      <c r="I29" s="25" t="n"/>
    </row>
    <row r="30" ht="18" customHeight="1">
      <c r="B30" s="25" t="n"/>
      <c r="C30" s="25" t="n"/>
      <c r="D30" s="25" t="n"/>
      <c r="E30" s="25" t="n"/>
      <c r="F30" s="25" t="n"/>
      <c r="G30" s="25" t="n"/>
      <c r="H30" s="25" t="n"/>
      <c r="I30" s="25" t="n"/>
    </row>
    <row r="31" ht="18" customHeight="1">
      <c r="B31" s="25" t="n"/>
      <c r="C31" s="25" t="n"/>
      <c r="D31" s="25" t="n"/>
      <c r="E31" s="25" t="n"/>
      <c r="F31" s="25" t="n"/>
      <c r="G31" s="25" t="n"/>
      <c r="H31" s="25" t="n"/>
      <c r="I31" s="25" t="n"/>
    </row>
    <row r="32" ht="15.75" customHeight="1">
      <c r="B32" s="2" t="inlineStr">
        <is>
          <t>Removed — Xóa bỏ</t>
        </is>
      </c>
      <c r="C32" s="34" t="n"/>
      <c r="D32" s="34" t="n"/>
      <c r="E32" s="34" t="n"/>
      <c r="F32" s="34" t="n"/>
      <c r="G32" s="34" t="n"/>
      <c r="H32" s="34" t="n"/>
      <c r="I32" s="33" t="n"/>
    </row>
    <row r="33" ht="18" customHeight="1">
      <c r="B33" s="25" t="n"/>
      <c r="C33" s="25" t="n"/>
      <c r="D33" s="25" t="n"/>
      <c r="E33" s="25" t="n"/>
      <c r="F33" s="25" t="n"/>
      <c r="G33" s="25" t="n"/>
      <c r="H33" s="25" t="n"/>
      <c r="I33" s="25" t="n"/>
    </row>
    <row r="34" ht="18" customHeight="1">
      <c r="B34" s="25" t="n"/>
      <c r="C34" s="25" t="n"/>
      <c r="D34" s="25" t="n"/>
      <c r="E34" s="25" t="n"/>
      <c r="F34" s="25" t="n"/>
      <c r="G34" s="25" t="n"/>
      <c r="H34" s="25" t="n"/>
      <c r="I34" s="25" t="n"/>
    </row>
    <row r="35" ht="18" customHeight="1">
      <c r="B35" s="25" t="n"/>
      <c r="C35" s="25" t="n"/>
      <c r="D35" s="25" t="n"/>
      <c r="E35" s="25" t="n"/>
      <c r="F35" s="25" t="n"/>
      <c r="G35" s="25" t="n"/>
      <c r="H35" s="25" t="n"/>
      <c r="I35" s="25" t="n"/>
    </row>
    <row r="37" ht="21.75" customHeight="1">
      <c r="B37" s="10" t="inlineStr">
        <is>
          <t>💡  BẢNG 3: Nhật ký Prompt AI  (PROMPTS)</t>
        </is>
      </c>
      <c r="C37" s="34" t="n"/>
      <c r="D37" s="34" t="n"/>
      <c r="E37" s="34" t="n"/>
      <c r="F37" s="34" t="n"/>
      <c r="G37" s="34" t="n"/>
      <c r="H37" s="34" t="n"/>
      <c r="I37" s="33" t="n"/>
    </row>
    <row r="38" ht="13.5" customHeight="1">
      <c r="B38" s="4" t="inlineStr">
        <is>
          <t>Mỗi prompt quan trọng ghi 1 block gồm 4 dòng. Ghi rõ prompt đã dùng, kết quả, cách nhóm sử dụng, và kiểm chứng.</t>
        </is>
      </c>
    </row>
    <row r="39" ht="19.5" customHeight="1">
      <c r="B39" s="22" t="inlineStr">
        <is>
          <t>Prompt #</t>
        </is>
      </c>
      <c r="C39" s="22" t="inlineStr">
        <is>
          <t>TV</t>
        </is>
      </c>
      <c r="D39" s="22" t="inlineStr">
        <is>
          <t>Công cụ AI</t>
        </is>
      </c>
      <c r="E39" s="22" t="inlineStr">
        <is>
          <t>Prompt đã dùng (nguyên văn) (*)</t>
        </is>
      </c>
      <c r="F39" s="34" t="n"/>
      <c r="G39" s="34" t="n"/>
      <c r="H39" s="34" t="n"/>
      <c r="I39" s="33" t="n"/>
    </row>
    <row r="40" ht="21.75" customHeight="1">
      <c r="B40" s="24" t="inlineStr">
        <is>
          <t>Prompt #1</t>
        </is>
      </c>
      <c r="C40" s="34" t="n"/>
      <c r="D40" s="33" t="n"/>
      <c r="E40" s="25" t="n"/>
      <c r="F40" s="34" t="n"/>
      <c r="G40" s="34" t="n"/>
      <c r="H40" s="34" t="n"/>
      <c r="I40" s="33" t="n"/>
    </row>
    <row r="41" ht="21.75" customHeight="1">
      <c r="B41" s="26" t="inlineStr">
        <is>
          <t>Kết quả AI trả về và vấn đề gặp phải:</t>
        </is>
      </c>
      <c r="C41" s="34" t="n"/>
      <c r="D41" s="33" t="n"/>
      <c r="E41" s="25" t="n"/>
      <c r="F41" s="34" t="n"/>
      <c r="G41" s="34" t="n"/>
      <c r="H41" s="34" t="n"/>
      <c r="I41" s="33" t="n"/>
    </row>
    <row r="42" ht="21.75" customHeight="1">
      <c r="B42" s="26" t="inlineStr">
        <is>
          <t>Nhóm đã chỉnh sửa / sử dụng như thế nào:</t>
        </is>
      </c>
      <c r="C42" s="34" t="n"/>
      <c r="D42" s="33" t="n"/>
      <c r="E42" s="25" t="n"/>
      <c r="F42" s="34" t="n"/>
      <c r="G42" s="34" t="n"/>
      <c r="H42" s="34" t="n"/>
      <c r="I42" s="33" t="n"/>
    </row>
    <row r="43" ht="21.75" customHeight="1">
      <c r="B43" s="26" t="inlineStr">
        <is>
          <t>Kiểm chứng (test pass/fail, kết quả đúng không):</t>
        </is>
      </c>
      <c r="C43" s="34" t="n"/>
      <c r="D43" s="33" t="n"/>
      <c r="E43" s="25" t="n"/>
      <c r="F43" s="34" t="n"/>
      <c r="G43" s="34" t="n"/>
      <c r="H43" s="34" t="n"/>
      <c r="I43" s="33" t="n"/>
    </row>
    <row r="44" ht="21.75" customHeight="1">
      <c r="B44" s="24" t="inlineStr">
        <is>
          <t>Prompt #2</t>
        </is>
      </c>
      <c r="C44" s="34" t="n"/>
      <c r="D44" s="33" t="n"/>
      <c r="E44" s="25" t="n"/>
      <c r="F44" s="34" t="n"/>
      <c r="G44" s="34" t="n"/>
      <c r="H44" s="34" t="n"/>
      <c r="I44" s="33" t="n"/>
    </row>
    <row r="45" ht="21.75" customHeight="1">
      <c r="B45" s="26" t="inlineStr">
        <is>
          <t>Kết quả AI trả về và vấn đề gặp phải:</t>
        </is>
      </c>
      <c r="C45" s="34" t="n"/>
      <c r="D45" s="33" t="n"/>
      <c r="E45" s="25" t="n"/>
      <c r="F45" s="34" t="n"/>
      <c r="G45" s="34" t="n"/>
      <c r="H45" s="34" t="n"/>
      <c r="I45" s="33" t="n"/>
    </row>
    <row r="46" ht="21.75" customHeight="1">
      <c r="B46" s="26" t="inlineStr">
        <is>
          <t>Nhóm đã chỉnh sửa / sử dụng như thế nào:</t>
        </is>
      </c>
      <c r="C46" s="34" t="n"/>
      <c r="D46" s="33" t="n"/>
      <c r="E46" s="25" t="n"/>
      <c r="F46" s="34" t="n"/>
      <c r="G46" s="34" t="n"/>
      <c r="H46" s="34" t="n"/>
      <c r="I46" s="33" t="n"/>
    </row>
    <row r="47" ht="21.75" customHeight="1">
      <c r="B47" s="26" t="inlineStr">
        <is>
          <t>Kiểm chứng (test pass/fail, kết quả đúng không):</t>
        </is>
      </c>
      <c r="C47" s="34" t="n"/>
      <c r="D47" s="33" t="n"/>
      <c r="E47" s="25" t="n"/>
      <c r="F47" s="34" t="n"/>
      <c r="G47" s="34" t="n"/>
      <c r="H47" s="34" t="n"/>
      <c r="I47" s="33" t="n"/>
    </row>
    <row r="48" ht="21.75" customHeight="1">
      <c r="B48" s="24" t="inlineStr">
        <is>
          <t>Prompt #3</t>
        </is>
      </c>
      <c r="C48" s="34" t="n"/>
      <c r="D48" s="33" t="n"/>
      <c r="E48" s="25" t="n"/>
      <c r="F48" s="34" t="n"/>
      <c r="G48" s="34" t="n"/>
      <c r="H48" s="34" t="n"/>
      <c r="I48" s="33" t="n"/>
    </row>
    <row r="49" ht="21.75" customHeight="1">
      <c r="B49" s="26" t="inlineStr">
        <is>
          <t>Kết quả AI trả về và vấn đề gặp phải:</t>
        </is>
      </c>
      <c r="C49" s="34" t="n"/>
      <c r="D49" s="33" t="n"/>
      <c r="E49" s="25" t="n"/>
      <c r="F49" s="34" t="n"/>
      <c r="G49" s="34" t="n"/>
      <c r="H49" s="34" t="n"/>
      <c r="I49" s="33" t="n"/>
    </row>
    <row r="50" ht="21.75" customHeight="1">
      <c r="B50" s="26" t="inlineStr">
        <is>
          <t>Nhóm đã chỉnh sửa / sử dụng như thế nào:</t>
        </is>
      </c>
      <c r="C50" s="34" t="n"/>
      <c r="D50" s="33" t="n"/>
      <c r="E50" s="25" t="n"/>
      <c r="F50" s="34" t="n"/>
      <c r="G50" s="34" t="n"/>
      <c r="H50" s="34" t="n"/>
      <c r="I50" s="33" t="n"/>
    </row>
    <row r="51" ht="21.75" customHeight="1">
      <c r="B51" s="26" t="inlineStr">
        <is>
          <t>Kiểm chứng (test pass/fail, kết quả đúng không):</t>
        </is>
      </c>
      <c r="C51" s="34" t="n"/>
      <c r="D51" s="33" t="n"/>
      <c r="E51" s="25" t="n"/>
      <c r="F51" s="34" t="n"/>
      <c r="G51" s="34" t="n"/>
      <c r="H51" s="34" t="n"/>
      <c r="I51" s="33" t="n"/>
    </row>
    <row r="52" ht="21.75" customHeight="1">
      <c r="B52" s="24" t="inlineStr">
        <is>
          <t>Prompt #4</t>
        </is>
      </c>
      <c r="C52" s="34" t="n"/>
      <c r="D52" s="33" t="n"/>
      <c r="E52" s="25" t="n"/>
      <c r="F52" s="34" t="n"/>
      <c r="G52" s="34" t="n"/>
      <c r="H52" s="34" t="n"/>
      <c r="I52" s="33" t="n"/>
    </row>
    <row r="53" ht="21.75" customHeight="1">
      <c r="B53" s="26" t="inlineStr">
        <is>
          <t>Kết quả AI trả về và vấn đề gặp phải:</t>
        </is>
      </c>
      <c r="C53" s="34" t="n"/>
      <c r="D53" s="33" t="n"/>
      <c r="E53" s="25" t="n"/>
      <c r="F53" s="34" t="n"/>
      <c r="G53" s="34" t="n"/>
      <c r="H53" s="34" t="n"/>
      <c r="I53" s="33" t="n"/>
    </row>
    <row r="54" ht="21.75" customHeight="1">
      <c r="B54" s="26" t="inlineStr">
        <is>
          <t>Nhóm đã chỉnh sửa / sử dụng như thế nào:</t>
        </is>
      </c>
      <c r="C54" s="34" t="n"/>
      <c r="D54" s="33" t="n"/>
      <c r="E54" s="25" t="n"/>
      <c r="F54" s="34" t="n"/>
      <c r="G54" s="34" t="n"/>
      <c r="H54" s="34" t="n"/>
      <c r="I54" s="33" t="n"/>
    </row>
    <row r="55" ht="21.75" customHeight="1">
      <c r="B55" s="26" t="inlineStr">
        <is>
          <t>Kiểm chứng (test pass/fail, kết quả đúng không):</t>
        </is>
      </c>
      <c r="C55" s="34" t="n"/>
      <c r="D55" s="33" t="n"/>
      <c r="E55" s="25" t="n"/>
      <c r="F55" s="34" t="n"/>
      <c r="G55" s="34" t="n"/>
      <c r="H55" s="34" t="n"/>
      <c r="I55" s="33" t="n"/>
    </row>
    <row r="56">
      <c r="E56" s="25" t="n"/>
      <c r="F56" s="34" t="n"/>
      <c r="G56" s="34" t="n"/>
      <c r="H56" s="34" t="n"/>
      <c r="I56" s="33" t="n"/>
    </row>
    <row r="57" ht="21.75" customHeight="1">
      <c r="B57" s="27" t="inlineStr">
        <is>
          <t>🪞  BẢNG 4: Suy ngẫm cuối tuần  (REFLECTION)</t>
        </is>
      </c>
      <c r="C57" s="34" t="n"/>
      <c r="D57" s="34" t="n"/>
      <c r="E57" s="34" t="n"/>
      <c r="F57" s="34" t="n"/>
      <c r="G57" s="34" t="n"/>
      <c r="H57" s="34" t="n"/>
      <c r="I57" s="33" t="n"/>
    </row>
    <row r="58" ht="13.5" customHeight="1">
      <c r="B58" s="4" t="inlineStr">
        <is>
          <t>Mỗi thành viên điền 1 block riêng. Mục 'AI sai/thiếu' bắt buộc ≥ 2 ví dụ cụ thể. Viết thành câu đầy đủ.</t>
        </is>
      </c>
    </row>
    <row r="59" ht="18" customHeight="1">
      <c r="B59" s="28" t="inlineStr">
        <is>
          <t>Thành viên A — Trưởng nhóm</t>
        </is>
      </c>
      <c r="C59" s="34" t="n"/>
      <c r="D59" s="34" t="n"/>
      <c r="E59" s="34" t="n"/>
      <c r="F59" s="34" t="n"/>
      <c r="G59" s="34" t="n"/>
      <c r="H59" s="34" t="n"/>
      <c r="I59" s="33" t="n"/>
    </row>
    <row r="60" ht="18" customHeight="1">
      <c r="B60" s="29" t="inlineStr">
        <is>
          <t>Đã làm gì trong tuần này? (*)</t>
        </is>
      </c>
      <c r="C60" s="34" t="n"/>
      <c r="D60" s="33" t="n"/>
      <c r="E60" s="30" t="inlineStr">
        <is>
          <t>💬 Liệt kê cụ thể: tính năng, test case, module, file...</t>
        </is>
      </c>
    </row>
    <row r="61" ht="18" customHeight="1">
      <c r="B61" s="29" t="inlineStr">
        <is>
          <t>AI đã hỗ trợ như thế nào?</t>
        </is>
      </c>
      <c r="C61" s="34" t="n"/>
      <c r="D61" s="33" t="n"/>
      <c r="E61" s="30" t="inlineStr">
        <is>
          <t>💬 Tóm tắt cách dùng AI: tool nào, việc gì, hiệu quả ra sao</t>
        </is>
      </c>
    </row>
    <row r="62" ht="18" customHeight="1">
      <c r="B62" s="29" t="inlineStr">
        <is>
          <t>AI sai hoặc thiếu ở đâu? (*)</t>
        </is>
      </c>
      <c r="C62" s="34" t="n"/>
      <c r="D62" s="33" t="n"/>
      <c r="E62" s="30" t="inlineStr">
        <is>
          <t>💬 ⚠️ Bắt buộc ≥ 2 ví dụ cụ thể về điểm AI chưa đúng/đủ</t>
        </is>
      </c>
    </row>
    <row r="63" ht="18" customHeight="1">
      <c r="B63" s="29" t="inlineStr">
        <is>
          <t>Khó khăn gặp phải</t>
        </is>
      </c>
      <c r="C63" s="34" t="n"/>
      <c r="D63" s="33" t="n"/>
      <c r="E63" s="30" t="inlineStr">
        <is>
          <t>💬 Kỹ thuật, nhóm, công cụ, môi trường...</t>
        </is>
      </c>
    </row>
    <row r="64" ht="18" customHeight="1">
      <c r="B64" s="29" t="inlineStr">
        <is>
          <t>Nếu làm lại, sẽ cải thiện điều gì?</t>
        </is>
      </c>
      <c r="C64" s="34" t="n"/>
      <c r="D64" s="33" t="n"/>
      <c r="E64" s="30" t="inlineStr">
        <is>
          <t>💬 Quy trình, cách dùng AI, phân công nhóm...</t>
        </is>
      </c>
    </row>
    <row r="66" ht="18" customHeight="1">
      <c r="B66" s="28" t="inlineStr">
        <is>
          <t>Thành viên B — Thành viên</t>
        </is>
      </c>
      <c r="C66" s="34" t="n"/>
      <c r="D66" s="34" t="n"/>
      <c r="E66" s="34" t="n"/>
      <c r="F66" s="34" t="n"/>
      <c r="G66" s="34" t="n"/>
      <c r="H66" s="34" t="n"/>
      <c r="I66" s="33" t="n"/>
    </row>
    <row r="67" ht="18" customHeight="1">
      <c r="B67" s="29" t="inlineStr">
        <is>
          <t>Đã làm gì trong tuần này? (*)</t>
        </is>
      </c>
      <c r="C67" s="34" t="n"/>
      <c r="D67" s="33" t="n"/>
      <c r="E67" s="30" t="inlineStr">
        <is>
          <t>💬 Liệt kê cụ thể: tính năng, test case, module, file...</t>
        </is>
      </c>
    </row>
    <row r="68" ht="18" customHeight="1">
      <c r="B68" s="29" t="inlineStr">
        <is>
          <t>AI đã hỗ trợ như thế nào?</t>
        </is>
      </c>
      <c r="C68" s="34" t="n"/>
      <c r="D68" s="33" t="n"/>
      <c r="E68" s="30" t="inlineStr">
        <is>
          <t>💬 Tóm tắt cách dùng AI: tool nào, việc gì, hiệu quả ra sao</t>
        </is>
      </c>
    </row>
    <row r="69" ht="18" customHeight="1">
      <c r="B69" s="29" t="inlineStr">
        <is>
          <t>AI sai hoặc thiếu ở đâu? (*)</t>
        </is>
      </c>
      <c r="C69" s="34" t="n"/>
      <c r="D69" s="33" t="n"/>
      <c r="E69" s="30" t="inlineStr">
        <is>
          <t>💬 ⚠️ Bắt buộc ≥ 2 ví dụ cụ thể về điểm AI chưa đúng/đủ</t>
        </is>
      </c>
    </row>
    <row r="70" ht="18" customHeight="1">
      <c r="B70" s="29" t="inlineStr">
        <is>
          <t>Khó khăn gặp phải</t>
        </is>
      </c>
      <c r="C70" s="34" t="n"/>
      <c r="D70" s="33" t="n"/>
      <c r="E70" s="30" t="inlineStr">
        <is>
          <t>💬 Kỹ thuật, nhóm, công cụ, môi trường...</t>
        </is>
      </c>
    </row>
    <row r="71" ht="18" customHeight="1">
      <c r="B71" s="29" t="inlineStr">
        <is>
          <t>Nếu làm lại, sẽ cải thiện điều gì?</t>
        </is>
      </c>
      <c r="C71" s="34" t="n"/>
      <c r="D71" s="33" t="n"/>
      <c r="E71" s="30" t="inlineStr">
        <is>
          <t>💬 Quy trình, cách dùng AI, phân công nhóm...</t>
        </is>
      </c>
    </row>
    <row r="73" ht="18" customHeight="1">
      <c r="B73" s="28" t="inlineStr">
        <is>
          <t>Thành viên C — Thành viên</t>
        </is>
      </c>
      <c r="C73" s="34" t="n"/>
      <c r="D73" s="34" t="n"/>
      <c r="E73" s="34" t="n"/>
      <c r="F73" s="34" t="n"/>
      <c r="G73" s="34" t="n"/>
      <c r="H73" s="34" t="n"/>
      <c r="I73" s="33" t="n"/>
    </row>
    <row r="74" ht="18" customHeight="1">
      <c r="B74" s="29" t="inlineStr">
        <is>
          <t>Đã làm gì trong tuần này? (*)</t>
        </is>
      </c>
      <c r="C74" s="34" t="n"/>
      <c r="D74" s="33" t="n"/>
      <c r="E74" s="26" t="inlineStr">
        <is>
          <t>💬 Liệt kê cụ thể: tính năng, test case, module, file...</t>
        </is>
      </c>
      <c r="F74" s="34" t="n"/>
      <c r="G74" s="34" t="n"/>
      <c r="H74" s="34" t="n"/>
      <c r="I74" s="33" t="n"/>
    </row>
    <row r="75" ht="18" customHeight="1">
      <c r="B75" s="29" t="inlineStr">
        <is>
          <t>AI đã hỗ trợ như thế nào?</t>
        </is>
      </c>
      <c r="C75" s="34" t="n"/>
      <c r="D75" s="33" t="n"/>
      <c r="E75" s="26" t="inlineStr">
        <is>
          <t>💬 Tóm tắt cách dùng AI: tool nào, việc gì, hiệu quả ra sao</t>
        </is>
      </c>
      <c r="F75" s="34" t="n"/>
      <c r="G75" s="34" t="n"/>
      <c r="H75" s="34" t="n"/>
      <c r="I75" s="33" t="n"/>
    </row>
    <row r="76" ht="18" customHeight="1">
      <c r="B76" s="29" t="inlineStr">
        <is>
          <t>AI sai hoặc thiếu ở đâu? (*)</t>
        </is>
      </c>
      <c r="C76" s="34" t="n"/>
      <c r="D76" s="33" t="n"/>
      <c r="E76" s="26" t="inlineStr">
        <is>
          <t>💬 ⚠️ Bắt buộc ≥ 2 ví dụ cụ thể về điểm AI chưa đúng/đủ</t>
        </is>
      </c>
      <c r="F76" s="34" t="n"/>
      <c r="G76" s="34" t="n"/>
      <c r="H76" s="34" t="n"/>
      <c r="I76" s="33" t="n"/>
    </row>
    <row r="77" ht="18" customHeight="1">
      <c r="B77" s="29" t="inlineStr">
        <is>
          <t>Khó khăn gặp phải</t>
        </is>
      </c>
      <c r="C77" s="34" t="n"/>
      <c r="D77" s="33" t="n"/>
      <c r="E77" s="26" t="inlineStr">
        <is>
          <t>💬 Kỹ thuật, nhóm, công cụ, môi trường...</t>
        </is>
      </c>
      <c r="F77" s="34" t="n"/>
      <c r="G77" s="34" t="n"/>
      <c r="H77" s="34" t="n"/>
      <c r="I77" s="33" t="n"/>
    </row>
    <row r="78" ht="18" customHeight="1">
      <c r="B78" s="29" t="inlineStr">
        <is>
          <t>Nếu làm lại, sẽ cải thiện điều gì?</t>
        </is>
      </c>
      <c r="C78" s="34" t="n"/>
      <c r="D78" s="33" t="n"/>
      <c r="E78" s="26" t="inlineStr">
        <is>
          <t>💬 Quy trình, cách dùng AI, phân công nhóm...</t>
        </is>
      </c>
      <c r="F78" s="34" t="n"/>
      <c r="G78" s="34" t="n"/>
      <c r="H78" s="34" t="n"/>
      <c r="I78" s="33" t="n"/>
    </row>
    <row r="80" ht="18" customHeight="1">
      <c r="B80" s="28" t="inlineStr">
        <is>
          <t>Thành viên D — Thành viên</t>
        </is>
      </c>
      <c r="C80" s="34" t="n"/>
      <c r="D80" s="34" t="n"/>
      <c r="E80" s="34" t="n"/>
      <c r="F80" s="34" t="n"/>
      <c r="G80" s="34" t="n"/>
      <c r="H80" s="34" t="n"/>
      <c r="I80" s="33" t="n"/>
    </row>
    <row r="81" ht="18" customHeight="1">
      <c r="B81" s="29" t="inlineStr">
        <is>
          <t>Đã làm gì trong tuần này? (*)</t>
        </is>
      </c>
      <c r="C81" s="34" t="n"/>
      <c r="D81" s="33" t="n"/>
      <c r="E81" s="26" t="inlineStr">
        <is>
          <t>💬 Liệt kê cụ thể: tính năng, test case, module, file...</t>
        </is>
      </c>
      <c r="F81" s="34" t="n"/>
      <c r="G81" s="34" t="n"/>
      <c r="H81" s="34" t="n"/>
      <c r="I81" s="33" t="n"/>
    </row>
    <row r="82" ht="18" customHeight="1">
      <c r="B82" s="29" t="inlineStr">
        <is>
          <t>AI đã hỗ trợ như thế nào?</t>
        </is>
      </c>
      <c r="C82" s="34" t="n"/>
      <c r="D82" s="33" t="n"/>
      <c r="E82" s="26" t="inlineStr">
        <is>
          <t>💬 Tóm tắt cách dùng AI: tool nào, việc gì, hiệu quả ra sao</t>
        </is>
      </c>
      <c r="F82" s="34" t="n"/>
      <c r="G82" s="34" t="n"/>
      <c r="H82" s="34" t="n"/>
      <c r="I82" s="33" t="n"/>
    </row>
    <row r="83" ht="18" customHeight="1">
      <c r="B83" s="29" t="inlineStr">
        <is>
          <t>AI sai hoặc thiếu ở đâu? (*)</t>
        </is>
      </c>
      <c r="C83" s="34" t="n"/>
      <c r="D83" s="33" t="n"/>
      <c r="E83" s="26" t="inlineStr">
        <is>
          <t>💬 ⚠️ Bắt buộc ≥ 2 ví dụ cụ thể về điểm AI chưa đúng/đủ</t>
        </is>
      </c>
      <c r="F83" s="34" t="n"/>
      <c r="G83" s="34" t="n"/>
      <c r="H83" s="34" t="n"/>
      <c r="I83" s="33" t="n"/>
    </row>
    <row r="84" ht="18" customHeight="1">
      <c r="B84" s="29" t="inlineStr">
        <is>
          <t>Khó khăn gặp phải</t>
        </is>
      </c>
      <c r="C84" s="34" t="n"/>
      <c r="D84" s="33" t="n"/>
      <c r="E84" s="26" t="inlineStr">
        <is>
          <t>💬 Kỹ thuật, nhóm, công cụ, môi trường...</t>
        </is>
      </c>
      <c r="F84" s="34" t="n"/>
      <c r="G84" s="34" t="n"/>
      <c r="H84" s="34" t="n"/>
      <c r="I84" s="33" t="n"/>
    </row>
    <row r="85" ht="18" customHeight="1">
      <c r="B85" s="29" t="inlineStr">
        <is>
          <t>Nếu làm lại, sẽ cải thiện điều gì?</t>
        </is>
      </c>
      <c r="C85" s="34" t="n"/>
      <c r="D85" s="33" t="n"/>
      <c r="E85" s="26" t="inlineStr">
        <is>
          <t>💬 Quy trình, cách dùng AI, phân công nhóm...</t>
        </is>
      </c>
      <c r="F85" s="34" t="n"/>
      <c r="G85" s="34" t="n"/>
      <c r="H85" s="34" t="n"/>
      <c r="I85" s="33" t="n"/>
    </row>
    <row r="87" ht="18" customHeight="1">
      <c r="B87" s="28" t="inlineStr">
        <is>
          <t>Thành viên E — Thành viên</t>
        </is>
      </c>
      <c r="C87" s="34" t="n"/>
      <c r="D87" s="34" t="n"/>
      <c r="E87" s="34" t="n"/>
      <c r="F87" s="34" t="n"/>
      <c r="G87" s="34" t="n"/>
      <c r="H87" s="34" t="n"/>
      <c r="I87" s="33" t="n"/>
    </row>
    <row r="88" ht="18" customHeight="1">
      <c r="B88" s="29" t="inlineStr">
        <is>
          <t>Đã làm gì trong tuần này? (*)</t>
        </is>
      </c>
      <c r="C88" s="34" t="n"/>
      <c r="D88" s="33" t="n"/>
      <c r="E88" s="26" t="inlineStr">
        <is>
          <t>💬 Liệt kê cụ thể: tính năng, test case, module, file...</t>
        </is>
      </c>
      <c r="F88" s="34" t="n"/>
      <c r="G88" s="34" t="n"/>
      <c r="H88" s="34" t="n"/>
      <c r="I88" s="33" t="n"/>
    </row>
    <row r="89" ht="18" customHeight="1">
      <c r="B89" s="29" t="inlineStr">
        <is>
          <t>AI đã hỗ trợ như thế nào?</t>
        </is>
      </c>
      <c r="C89" s="34" t="n"/>
      <c r="D89" s="33" t="n"/>
      <c r="E89" s="26" t="inlineStr">
        <is>
          <t>💬 Tóm tắt cách dùng AI: tool nào, việc gì, hiệu quả ra sao</t>
        </is>
      </c>
      <c r="F89" s="34" t="n"/>
      <c r="G89" s="34" t="n"/>
      <c r="H89" s="34" t="n"/>
      <c r="I89" s="33" t="n"/>
    </row>
    <row r="90" ht="18" customHeight="1">
      <c r="B90" s="29" t="inlineStr">
        <is>
          <t>AI sai hoặc thiếu ở đâu? (*)</t>
        </is>
      </c>
      <c r="C90" s="34" t="n"/>
      <c r="D90" s="33" t="n"/>
      <c r="E90" s="26" t="inlineStr">
        <is>
          <t>💬 ⚠️ Bắt buộc ≥ 2 ví dụ cụ thể về điểm AI chưa đúng/đủ</t>
        </is>
      </c>
      <c r="F90" s="34" t="n"/>
      <c r="G90" s="34" t="n"/>
      <c r="H90" s="34" t="n"/>
      <c r="I90" s="33" t="n"/>
    </row>
    <row r="91" ht="18" customHeight="1">
      <c r="B91" s="29" t="inlineStr">
        <is>
          <t>Khó khăn gặp phải</t>
        </is>
      </c>
      <c r="C91" s="34" t="n"/>
      <c r="D91" s="33" t="n"/>
      <c r="E91" s="26" t="inlineStr">
        <is>
          <t>💬 Kỹ thuật, nhóm, công cụ, môi trường...</t>
        </is>
      </c>
      <c r="F91" s="34" t="n"/>
      <c r="G91" s="34" t="n"/>
      <c r="H91" s="34" t="n"/>
      <c r="I91" s="33" t="n"/>
    </row>
    <row r="92" ht="18" customHeight="1">
      <c r="B92" s="29" t="inlineStr">
        <is>
          <t>Nếu làm lại, sẽ cải thiện điều gì?</t>
        </is>
      </c>
      <c r="C92" s="34" t="n"/>
      <c r="D92" s="33" t="n"/>
      <c r="E92" s="26" t="inlineStr">
        <is>
          <t>💬 Quy trình, cách dùng AI, phân công nhóm...</t>
        </is>
      </c>
      <c r="F92" s="34" t="n"/>
      <c r="G92" s="34" t="n"/>
      <c r="H92" s="34" t="n"/>
      <c r="I92" s="33" t="n"/>
    </row>
    <row r="94" ht="15.75" customHeight="1">
      <c r="B94" s="31" t="inlineStr">
        <is>
          <t>FER202  |  Week 10  |  FPT University — Điền xong nhớ Ctrl+S để lưu!</t>
        </is>
      </c>
      <c r="C94" s="34" t="n"/>
      <c r="D94" s="34" t="n"/>
      <c r="E94" s="34" t="n"/>
      <c r="F94" s="34" t="n"/>
      <c r="G94" s="34" t="n"/>
      <c r="H94" s="34" t="n"/>
      <c r="I94" s="33"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B2:L22"/>
  <sheetViews>
    <sheetView showGridLines="0" topLeftCell="A7" zoomScaleNormal="100" workbookViewId="0">
      <selection activeCell="D26" sqref="D26"/>
    </sheetView>
  </sheetViews>
  <sheetFormatPr baseColWidth="8" defaultColWidth="8.6328125" defaultRowHeight="14.5"/>
  <cols>
    <col width="3" customWidth="1" min="1" max="1"/>
    <col width="12" customWidth="1" min="2" max="2"/>
    <col width="16" customWidth="1" min="3" max="6"/>
    <col width="13" customWidth="1" min="7" max="11"/>
  </cols>
  <sheetData>
    <row r="1" ht="13.5" customHeight="1"/>
    <row r="2" ht="33.75" customHeight="1">
      <c r="B2" s="6" t="inlineStr">
        <is>
          <t>SUMMARY — Tổng hợp cả học kỳ</t>
        </is>
      </c>
      <c r="C2" s="34" t="n"/>
      <c r="D2" s="34" t="n"/>
      <c r="E2" s="34" t="n"/>
      <c r="F2" s="34" t="n"/>
      <c r="G2" s="34" t="n"/>
      <c r="H2" s="34" t="n"/>
      <c r="I2" s="34" t="n"/>
      <c r="J2" s="34" t="n"/>
      <c r="K2" s="34" t="n"/>
      <c r="L2" s="33" t="n"/>
    </row>
    <row r="4" ht="19.5" customHeight="1">
      <c r="B4" s="11" t="inlineStr">
        <is>
          <t>📊  Tổng số lần dùng AI theo tuần &amp; thành viên (tự động đếm từ các sheet Week)</t>
        </is>
      </c>
      <c r="C4" s="34" t="n"/>
      <c r="D4" s="34" t="n"/>
      <c r="E4" s="34" t="n"/>
      <c r="F4" s="34" t="n"/>
      <c r="G4" s="34" t="n"/>
      <c r="H4" s="34" t="n"/>
      <c r="I4" s="34" t="n"/>
      <c r="J4" s="34" t="n"/>
      <c r="K4" s="34" t="n"/>
      <c r="L4" s="33" t="n"/>
    </row>
    <row r="5" ht="19.5" customHeight="1">
      <c r="B5" s="17" t="inlineStr">
        <is>
          <t>Tuần</t>
        </is>
      </c>
      <c r="C5" s="17" t="inlineStr">
        <is>
          <t>TV-A</t>
        </is>
      </c>
      <c r="D5" s="17" t="inlineStr">
        <is>
          <t>TV-B</t>
        </is>
      </c>
      <c r="E5" s="17" t="inlineStr">
        <is>
          <t>TV-C</t>
        </is>
      </c>
      <c r="F5" s="17" t="inlineStr">
        <is>
          <t>TV-D</t>
        </is>
      </c>
      <c r="G5" s="17" t="inlineStr">
        <is>
          <t>TV-E</t>
        </is>
      </c>
      <c r="H5" s="17" t="inlineStr">
        <is>
          <t>Tổng</t>
        </is>
      </c>
      <c r="I5" s="17" t="inlineStr">
        <is>
          <t>Low</t>
        </is>
      </c>
      <c r="J5" s="17" t="inlineStr">
        <is>
          <t>Medium</t>
        </is>
      </c>
      <c r="K5" s="17" t="inlineStr">
        <is>
          <t>High</t>
        </is>
      </c>
      <c r="L5" s="17" t="inlineStr">
        <is>
          <t>Ghi chú</t>
        </is>
      </c>
    </row>
    <row r="6" ht="18" customHeight="1">
      <c r="B6" s="23" t="inlineStr">
        <is>
          <t>Week 01</t>
        </is>
      </c>
      <c r="C6" s="23">
        <f>COUNTIF(Week_01!$C$8:$C$15,"A")</f>
        <v/>
      </c>
      <c r="D6" s="23">
        <f>COUNTIF(Week_01!$C$8:$C$15,"B")</f>
        <v/>
      </c>
      <c r="E6" s="23">
        <f>COUNTIF(Week_01!$C$8:$C$15,"C")</f>
        <v/>
      </c>
      <c r="F6" s="23">
        <f>COUNTIF(Week_01!$C$8:$C$15,"D")</f>
        <v/>
      </c>
      <c r="G6" s="23">
        <f>COUNTIF(Week_01!$C$8:$C$15,"E")</f>
        <v/>
      </c>
      <c r="H6" s="23">
        <f>SUM(C6:G6)</f>
        <v/>
      </c>
      <c r="I6" s="23">
        <f>COUNTIF(Week_01!$G$8:$G$15,"Low")</f>
        <v/>
      </c>
      <c r="J6" s="23">
        <f>COUNTIF(Week_01!$G$8:$G$15,"Medium")</f>
        <v/>
      </c>
      <c r="K6" s="23">
        <f>COUNTIF(Week_01!$G$8:$G$15,"High")</f>
        <v/>
      </c>
      <c r="L6" s="23" t="n"/>
    </row>
    <row r="7" ht="18" customHeight="1">
      <c r="B7" s="23" t="inlineStr">
        <is>
          <t>Week 02</t>
        </is>
      </c>
      <c r="C7" s="23">
        <f>COUNTIF(Week_02!$C$8:$C$15,"A")</f>
        <v/>
      </c>
      <c r="D7" s="23">
        <f>COUNTIF(Week_02!$C$8:$C$15,"B")</f>
        <v/>
      </c>
      <c r="E7" s="23">
        <f>COUNTIF(Week_02!$C$8:$C$15,"C")</f>
        <v/>
      </c>
      <c r="F7" s="23">
        <f>COUNTIF(Week_02!$C$8:$C$15,"D")</f>
        <v/>
      </c>
      <c r="G7" s="23">
        <f>COUNTIF(Week_02!$C$8:$C$15,"E")</f>
        <v/>
      </c>
      <c r="H7" s="23">
        <f>SUM(C7:G7)</f>
        <v/>
      </c>
      <c r="I7" s="23">
        <f>COUNTIF(Week_02!$G$8:$G$15,"Low")</f>
        <v/>
      </c>
      <c r="J7" s="23">
        <f>COUNTIF(Week_02!$G$8:$G$15,"Medium")</f>
        <v/>
      </c>
      <c r="K7" s="23">
        <f>COUNTIF(Week_02!$G$8:$G$15,"High")</f>
        <v/>
      </c>
      <c r="L7" s="23" t="n"/>
    </row>
    <row r="8" ht="18" customHeight="1">
      <c r="B8" s="23" t="inlineStr">
        <is>
          <t>Week 03</t>
        </is>
      </c>
      <c r="C8" s="23">
        <f>COUNTIF(Week_03!$C$8:$C$15,"A")</f>
        <v/>
      </c>
      <c r="D8" s="23">
        <f>COUNTIF(Week_03!$C$8:$C$15,"B")</f>
        <v/>
      </c>
      <c r="E8" s="23">
        <f>COUNTIF(Week_03!$C$8:$C$15,"C")</f>
        <v/>
      </c>
      <c r="F8" s="23">
        <f>COUNTIF(Week_03!$C$8:$C$15,"D")</f>
        <v/>
      </c>
      <c r="G8" s="23">
        <f>COUNTIF(Week_03!$C$8:$C$15,"E")</f>
        <v/>
      </c>
      <c r="H8" s="23">
        <f>SUM(C8:G8)</f>
        <v/>
      </c>
      <c r="I8" s="23">
        <f>COUNTIF(Week_03!$G$8:$G$15,"Low")</f>
        <v/>
      </c>
      <c r="J8" s="23">
        <f>COUNTIF(Week_03!$G$8:$G$15,"Medium")</f>
        <v/>
      </c>
      <c r="K8" s="23">
        <f>COUNTIF(Week_03!$G$8:$G$15,"High")</f>
        <v/>
      </c>
      <c r="L8" s="23" t="n"/>
    </row>
    <row r="9" ht="18" customHeight="1">
      <c r="B9" s="23" t="inlineStr">
        <is>
          <t>Week 04</t>
        </is>
      </c>
      <c r="C9" s="23">
        <f>COUNTIF(Week_04!$C$8:$C$15,"A")</f>
        <v/>
      </c>
      <c r="D9" s="23">
        <f>COUNTIF(Week_04!$C$8:$C$15,"B")</f>
        <v/>
      </c>
      <c r="E9" s="23">
        <f>COUNTIF(Week_04!$C$8:$C$15,"C")</f>
        <v/>
      </c>
      <c r="F9" s="23">
        <f>COUNTIF(Week_04!$C$8:$C$15,"D")</f>
        <v/>
      </c>
      <c r="G9" s="23">
        <f>COUNTIF(Week_04!$C$8:$C$15,"E")</f>
        <v/>
      </c>
      <c r="H9" s="23">
        <f>SUM(C9:G9)</f>
        <v/>
      </c>
      <c r="I9" s="23">
        <f>COUNTIF(Week_04!$G$8:$G$15,"Low")</f>
        <v/>
      </c>
      <c r="J9" s="23">
        <f>COUNTIF(Week_04!$G$8:$G$15,"Medium")</f>
        <v/>
      </c>
      <c r="K9" s="23">
        <f>COUNTIF(Week_04!$G$8:$G$15,"High")</f>
        <v/>
      </c>
      <c r="L9" s="23" t="n"/>
    </row>
    <row r="10" ht="18" customHeight="1">
      <c r="B10" s="23" t="inlineStr">
        <is>
          <t>Week 05</t>
        </is>
      </c>
      <c r="C10" s="23">
        <f>COUNTIF(Week_05!$C$8:$C$15,"A")</f>
        <v/>
      </c>
      <c r="D10" s="23">
        <f>COUNTIF(Week_05!$C$8:$C$15,"B")</f>
        <v/>
      </c>
      <c r="E10" s="23">
        <f>COUNTIF(Week_05!$C$8:$C$15,"C")</f>
        <v/>
      </c>
      <c r="F10" s="23">
        <f>COUNTIF(Week_05!$C$8:$C$15,"D")</f>
        <v/>
      </c>
      <c r="G10" s="23">
        <f>COUNTIF(Week_05!$C$8:$C$15,"E")</f>
        <v/>
      </c>
      <c r="H10" s="23">
        <f>SUM(C10:G10)</f>
        <v/>
      </c>
      <c r="I10" s="23">
        <f>COUNTIF(Week_05!$G$8:$G$15,"Low")</f>
        <v/>
      </c>
      <c r="J10" s="23">
        <f>COUNTIF(Week_05!$G$8:$G$15,"Medium")</f>
        <v/>
      </c>
      <c r="K10" s="23">
        <f>COUNTIF(Week_05!$G$8:$G$15,"High")</f>
        <v/>
      </c>
      <c r="L10" s="23" t="n"/>
    </row>
    <row r="11" ht="18" customHeight="1">
      <c r="B11" s="23" t="inlineStr">
        <is>
          <t>Week 06</t>
        </is>
      </c>
      <c r="C11" s="23">
        <f>COUNTIF(Week_06!$C$8:$C$15,"A")</f>
        <v/>
      </c>
      <c r="D11" s="23">
        <f>COUNTIF(Week_06!$C$8:$C$15,"B")</f>
        <v/>
      </c>
      <c r="E11" s="23">
        <f>COUNTIF(Week_06!$C$8:$C$15,"C")</f>
        <v/>
      </c>
      <c r="F11" s="23">
        <f>COUNTIF(Week_06!$C$8:$C$15,"D")</f>
        <v/>
      </c>
      <c r="G11" s="23">
        <f>COUNTIF(Week_06!$C$8:$C$15,"E")</f>
        <v/>
      </c>
      <c r="H11" s="23">
        <f>SUM(C11:G11)</f>
        <v/>
      </c>
      <c r="I11" s="23">
        <f>COUNTIF(Week_06!$G$8:$G$15,"Low")</f>
        <v/>
      </c>
      <c r="J11" s="23">
        <f>COUNTIF(Week_06!$G$8:$G$15,"Medium")</f>
        <v/>
      </c>
      <c r="K11" s="23">
        <f>COUNTIF(Week_06!$G$8:$G$15,"High")</f>
        <v/>
      </c>
      <c r="L11" s="23" t="n"/>
    </row>
    <row r="12" ht="18" customHeight="1">
      <c r="B12" s="23" t="inlineStr">
        <is>
          <t>Week 07</t>
        </is>
      </c>
      <c r="C12" s="23">
        <f>COUNTIF(Week_07!$C$8:$C$15,"A")</f>
        <v/>
      </c>
      <c r="D12" s="23">
        <f>COUNTIF(Week_07!$C$8:$C$15,"B")</f>
        <v/>
      </c>
      <c r="E12" s="23">
        <f>COUNTIF(Week_07!$C$8:$C$15,"C")</f>
        <v/>
      </c>
      <c r="F12" s="23">
        <f>COUNTIF(Week_07!$C$8:$C$15,"D")</f>
        <v/>
      </c>
      <c r="G12" s="23">
        <f>COUNTIF(Week_07!$C$8:$C$15,"E")</f>
        <v/>
      </c>
      <c r="H12" s="23">
        <f>SUM(C12:G12)</f>
        <v/>
      </c>
      <c r="I12" s="23">
        <f>COUNTIF(Week_07!$G$8:$G$15,"Low")</f>
        <v/>
      </c>
      <c r="J12" s="23">
        <f>COUNTIF(Week_07!$G$8:$G$15,"Medium")</f>
        <v/>
      </c>
      <c r="K12" s="23">
        <f>COUNTIF(Week_07!$G$8:$G$15,"High")</f>
        <v/>
      </c>
      <c r="L12" s="23" t="n"/>
    </row>
    <row r="13" ht="18" customHeight="1">
      <c r="B13" s="23" t="inlineStr">
        <is>
          <t>Week 08</t>
        </is>
      </c>
      <c r="C13" s="23">
        <f>COUNTIF(Week_08!$C$8:$C$15,"A")</f>
        <v/>
      </c>
      <c r="D13" s="23">
        <f>COUNTIF(Week_08!$C$8:$C$15,"B")</f>
        <v/>
      </c>
      <c r="E13" s="23">
        <f>COUNTIF(Week_08!$C$8:$C$15,"C")</f>
        <v/>
      </c>
      <c r="F13" s="23">
        <f>COUNTIF(Week_08!$C$8:$C$15,"D")</f>
        <v/>
      </c>
      <c r="G13" s="23">
        <f>COUNTIF(Week_08!$C$8:$C$15,"E")</f>
        <v/>
      </c>
      <c r="H13" s="23">
        <f>SUM(C13:G13)</f>
        <v/>
      </c>
      <c r="I13" s="23">
        <f>COUNTIF(Week_08!$G$8:$G$15,"Low")</f>
        <v/>
      </c>
      <c r="J13" s="23">
        <f>COUNTIF(Week_08!$G$8:$G$15,"Medium")</f>
        <v/>
      </c>
      <c r="K13" s="23">
        <f>COUNTIF(Week_08!$G$8:$G$15,"High")</f>
        <v/>
      </c>
      <c r="L13" s="23" t="n"/>
    </row>
    <row r="14" ht="18" customHeight="1">
      <c r="B14" s="23" t="inlineStr">
        <is>
          <t>Week 09</t>
        </is>
      </c>
      <c r="C14" s="23">
        <f>COUNTIF(Week_09!$C$8:$C$15,"A")</f>
        <v/>
      </c>
      <c r="D14" s="23">
        <f>COUNTIF(Week_09!$C$8:$C$15,"B")</f>
        <v/>
      </c>
      <c r="E14" s="23">
        <f>COUNTIF(Week_09!$C$8:$C$15,"C")</f>
        <v/>
      </c>
      <c r="F14" s="23">
        <f>COUNTIF(Week_09!$C$8:$C$15,"D")</f>
        <v/>
      </c>
      <c r="G14" s="23">
        <f>COUNTIF(Week_09!$C$8:$C$15,"E")</f>
        <v/>
      </c>
      <c r="H14" s="23">
        <f>SUM(C14:G14)</f>
        <v/>
      </c>
      <c r="I14" s="23">
        <f>COUNTIF(Week_09!$G$8:$G$15,"Low")</f>
        <v/>
      </c>
      <c r="J14" s="23">
        <f>COUNTIF(Week_09!$G$8:$G$15,"Medium")</f>
        <v/>
      </c>
      <c r="K14" s="23">
        <f>COUNTIF(Week_09!$G$8:$G$15,"High")</f>
        <v/>
      </c>
      <c r="L14" s="23" t="n"/>
    </row>
    <row r="15" ht="18" customHeight="1">
      <c r="B15" s="23" t="inlineStr">
        <is>
          <t>Week 10</t>
        </is>
      </c>
      <c r="C15" s="23">
        <f>COUNTIF(Week_10!$C$8:$C$15,"A")</f>
        <v/>
      </c>
      <c r="D15" s="23">
        <f>COUNTIF(Week_10!$C$8:$C$15,"B")</f>
        <v/>
      </c>
      <c r="E15" s="23">
        <f>COUNTIF(Week_10!$C$8:$C$15,"C")</f>
        <v/>
      </c>
      <c r="F15" s="23">
        <f>COUNTIF(Week_10!$C$8:$C$15,"D")</f>
        <v/>
      </c>
      <c r="G15" s="23">
        <f>COUNTIF(Week_10!$C$8:$C$15,"E")</f>
        <v/>
      </c>
      <c r="H15" s="23">
        <f>SUM(C15:G15)</f>
        <v/>
      </c>
      <c r="I15" s="23">
        <f>COUNTIF(Week_10!$G$8:$G$15,"Low")</f>
        <v/>
      </c>
      <c r="J15" s="23">
        <f>COUNTIF(Week_10!$G$8:$G$15,"Medium")</f>
        <v/>
      </c>
      <c r="K15" s="23">
        <f>COUNTIF(Week_10!$G$8:$G$15,"High")</f>
        <v/>
      </c>
      <c r="L15" s="23" t="n"/>
    </row>
    <row r="16" ht="19.5" customHeight="1">
      <c r="B16" s="17" t="inlineStr">
        <is>
          <t>TỔNG</t>
        </is>
      </c>
      <c r="C16" s="17">
        <f>SUM(C6:C15)</f>
        <v/>
      </c>
      <c r="D16" s="17">
        <f>SUM(D6:D15)</f>
        <v/>
      </c>
      <c r="E16" s="17">
        <f>SUM(E6:E15)</f>
        <v/>
      </c>
      <c r="F16" s="17">
        <f>SUM(F6:F15)</f>
        <v/>
      </c>
      <c r="G16" s="17">
        <f>SUM(G6:G15)</f>
        <v/>
      </c>
      <c r="H16" s="17">
        <f>SUM(H6:H15)</f>
        <v/>
      </c>
      <c r="I16" s="17">
        <f>SUM(I6:I15)</f>
        <v/>
      </c>
      <c r="J16" s="17">
        <f>SUM(J6:J15)</f>
        <v/>
      </c>
      <c r="K16" s="17">
        <f>SUM(K6:K15)</f>
        <v/>
      </c>
      <c r="L16" s="17" t="n"/>
    </row>
    <row r="18" ht="19.5" customHeight="1">
      <c r="B18" s="27" t="inlineStr">
        <is>
          <t>📝  Nhận xét tổng kết học kỳ của nhóm</t>
        </is>
      </c>
      <c r="C18" s="34" t="n"/>
      <c r="D18" s="34" t="n"/>
      <c r="E18" s="34" t="n"/>
      <c r="F18" s="34" t="n"/>
      <c r="G18" s="34" t="n"/>
      <c r="H18" s="34" t="n"/>
      <c r="I18" s="34" t="n"/>
      <c r="J18" s="34" t="n"/>
      <c r="K18" s="34" t="n"/>
      <c r="L18" s="33" t="n"/>
    </row>
    <row r="19" ht="21.75" customHeight="1">
      <c r="B19" s="32" t="inlineStr">
        <is>
          <t>Công cụ AI nhóm dùng nhiều nhất:</t>
        </is>
      </c>
      <c r="C19" s="34" t="n"/>
      <c r="D19" s="34" t="n"/>
      <c r="E19" s="25" t="inlineStr">
        <is>
          <t>ChatGPT-4o &amp; GitHub Copilot (hỗ trợ đắc lực việc tạo nhanh boilerplate Custom Hooks, cấu trúc Redux Toolkit và chuẩn hóa lỗi tương thích json-server v1+).</t>
        </is>
      </c>
      <c r="F19" s="34" t="n"/>
      <c r="G19" s="34" t="n"/>
      <c r="H19" s="34" t="n"/>
      <c r="I19" s="34" t="n"/>
      <c r="J19" s="34" t="n"/>
      <c r="K19" s="34" t="n"/>
      <c r="L19" s="33" t="n"/>
    </row>
    <row r="20" ht="21.75" customHeight="1">
      <c r="B20" s="32" t="inlineStr">
        <is>
          <t>Tuần sử dụng AI hiệu quả nhất và lý do:</t>
        </is>
      </c>
      <c r="C20" s="34" t="n"/>
      <c r="D20" s="34" t="n"/>
      <c r="E20" s="25" t="inlineStr">
        <is>
          <t>Tuần 7 (Built-in Hooks) &amp; Tuần 10 (Redux &amp; POS Barista v3.2): AI giúp phân tích sâu cơ chế Immer, tối ưu time-travel debugging và xử lý triệt để bài toán auto-refresh 3 giây không gây rò rỉ bộ nhớ.</t>
        </is>
      </c>
      <c r="F20" s="34" t="n"/>
      <c r="G20" s="34" t="n"/>
      <c r="H20" s="34" t="n"/>
      <c r="I20" s="34" t="n"/>
      <c r="J20" s="34" t="n"/>
      <c r="K20" s="34" t="n"/>
      <c r="L20" s="33" t="n"/>
    </row>
    <row r="21" ht="21.75" customHeight="1">
      <c r="B21" s="32" t="inlineStr">
        <is>
          <t>Điểm hạn chế / rủi ro khi dùng AI trong project:</t>
        </is>
      </c>
      <c r="C21" s="34" t="n"/>
      <c r="D21" s="34" t="n"/>
      <c r="E21" s="25" t="inlineStr">
        <is>
          <t>AI đôi khi gợi ý các cú pháp cũ hoặc thư viện đã deprecated (ví dụ cú pháp sắp xếp _sort=createdAt&amp;_order=desc của json-server v0.x hay quên cleanup function trong useEffect gây double-interval).</t>
        </is>
      </c>
      <c r="F21" s="34" t="n"/>
      <c r="G21" s="34" t="n"/>
      <c r="H21" s="34" t="n"/>
      <c r="I21" s="34" t="n"/>
      <c r="J21" s="34" t="n"/>
      <c r="K21" s="34" t="n"/>
      <c r="L21" s="33" t="n"/>
    </row>
    <row r="22" ht="32.25" customHeight="1">
      <c r="B22" s="32" t="inlineStr">
        <is>
          <t>Bài học lớn nhất từ việc dùng AI trong học kỳ này:</t>
        </is>
      </c>
      <c r="C22" s="34" t="n"/>
      <c r="D22" s="34" t="n"/>
      <c r="E22" s="25" t="inlineStr">
        <is>
          <t>AI là một trợ lý lập trình tuyệt vời giúp tăng 300% tốc độ phác thảo ban đầu, nhưng lập trình viên phải luôn là người hiểu rõ bản chất cốt lõi của React, kiểm thử thực tế kỹ lưỡng từng dòng code và chịu trách nhiệm cao nhất về kiến trúc hệ thống.</t>
        </is>
      </c>
      <c r="F22" s="34" t="n"/>
      <c r="G22" s="34" t="n"/>
      <c r="H22" s="34" t="n"/>
      <c r="I22" s="34" t="n"/>
      <c r="J22" s="34" t="n"/>
      <c r="K22" s="34" t="n"/>
      <c r="L22" s="33" t="n"/>
    </row>
  </sheetData>
  <mergeCells count="11">
    <mergeCell ref="B4:L4"/>
    <mergeCell ref="B19:D19"/>
    <mergeCell ref="E20:L20"/>
    <mergeCell ref="E21:L21"/>
    <mergeCell ref="B22:D22"/>
    <mergeCell ref="B2:L2"/>
    <mergeCell ref="B21:D21"/>
    <mergeCell ref="E22:L22"/>
    <mergeCell ref="E19:L19"/>
    <mergeCell ref="B18:L18"/>
    <mergeCell ref="B20:D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2026-05-29T14:09:10Z</dcterms:created>
  <dcterms:modified xmlns:dcterms="http://purl.org/dc/terms/" xmlns:xsi="http://www.w3.org/2001/XMLSchema-instance" xsi:type="dcterms:W3CDTF">2026-07-22T07:56:49Z</dcterms:modified>
  <cp:lastModifiedBy>David Bellamy</cp:lastModifiedBy>
  <cp:revision>0</cp:revision>
</cp:coreProperties>
</file>